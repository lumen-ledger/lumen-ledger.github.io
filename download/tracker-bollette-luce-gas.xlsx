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truzioni" sheetId="1" state="visible" r:id="rId1"/>
    <sheet xmlns:r="http://schemas.openxmlformats.org/officeDocument/2006/relationships" name="Bollette" sheetId="2" state="visible" r:id="rId2"/>
    <sheet xmlns:r="http://schemas.openxmlformats.org/officeDocument/2006/relationships" name="Riepilogo" sheetId="3" state="visible" r:id="rId3"/>
    <sheet xmlns:r="http://schemas.openxmlformats.org/officeDocument/2006/relationships" name="Confronto offer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#,##0.00 &quot;€&quot;"/>
    <numFmt numFmtId="166" formatCode="#,##0.0000 &quot;€&quot;"/>
    <numFmt numFmtId="167" formatCode="DD/MM/YYYY"/>
    <numFmt numFmtId="168" formatCode="+#,##0.00 &quot;€&quot;;-#,##0.00 &quot;€&quot;;0 &quot;€&quot;"/>
  </numFmts>
  <fonts count="7">
    <font>
      <name val="Calibri"/>
      <family val="2"/>
      <color theme="1"/>
      <sz val="11"/>
      <scheme val="minor"/>
    </font>
    <font>
      <b val="1"/>
      <color rgb="000F2A3D"/>
      <sz val="16"/>
    </font>
    <font>
      <i val="1"/>
    </font>
    <font>
      <b val="1"/>
      <color rgb="000F2A3D"/>
    </font>
    <font>
      <b val="1"/>
      <color rgb="00FFFFFF"/>
    </font>
    <font>
      <b val="1"/>
      <color rgb="000F2A3D"/>
      <sz val="14"/>
    </font>
    <font>
      <i val="1"/>
      <color rgb="00555555"/>
    </font>
  </fonts>
  <fills count="4">
    <fill>
      <patternFill/>
    </fill>
    <fill>
      <patternFill patternType="gray125"/>
    </fill>
    <fill>
      <patternFill patternType="solid">
        <fgColor rgb="000F2A3D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D0CCC0"/>
      </left>
      <right style="thin">
        <color rgb="00D0CCC0"/>
      </right>
      <top style="thin">
        <color rgb="00D0CCC0"/>
      </top>
      <bottom style="thin">
        <color rgb="00D0CCC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vertical="center" wrapText="1"/>
    </xf>
    <xf numFmtId="0" fontId="0" fillId="3" borderId="1" pivotButton="0" quotePrefix="0" xfId="0"/>
    <xf numFmtId="167" fontId="0" fillId="3" borderId="1" pivotButton="0" quotePrefix="0" xfId="0"/>
    <xf numFmtId="165" fontId="0" fillId="3" borderId="1" pivotButton="0" quotePrefix="0" xfId="0"/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5" fillId="0" borderId="0" pivotButton="0" quotePrefix="0" xfId="0"/>
    <xf numFmtId="0" fontId="0" fillId="3" borderId="0" pivotButton="0" quotePrefix="0" xfId="0"/>
    <xf numFmtId="3" fontId="0" fillId="0" borderId="1" pivotButton="0" quotePrefix="0" xfId="0"/>
    <xf numFmtId="1" fontId="0" fillId="0" borderId="1" pivotButton="0" quotePrefix="0" xfId="0"/>
    <xf numFmtId="0" fontId="6" fillId="0" borderId="0" pivotButton="0" quotePrefix="0" xfId="0"/>
    <xf numFmtId="3" fontId="0" fillId="3" borderId="0" pivotButton="0" quotePrefix="0" xfId="0"/>
    <xf numFmtId="166" fontId="0" fillId="3" borderId="1" pivotButton="0" quotePrefix="0" xfId="0"/>
    <xf numFmtId="168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C2452D"/>
      </font>
    </dxf>
    <dxf>
      <font>
        <b val="1"/>
        <color rgb="002E8B57"/>
      </font>
    </dxf>
    <dxf>
      <font>
        <color rgb="00C2452D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Spesa per fornitura (anno selezionato)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'Riepilogo'!B4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'Riepilogo'!$A$5</f>
            </numRef>
          </cat>
          <val>
            <numRef>
              <f>'Riepilogo'!$B$5</f>
            </numRef>
          </val>
        </ser>
        <ser>
          <idx val="1"/>
          <order val="1"/>
          <tx>
            <strRef>
              <f>'Riepilogo'!C4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'Riepilogo'!$A$5</f>
            </numRef>
          </cat>
          <val>
            <numRef>
              <f>'Riepilogo'!$C$5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F2A3D"/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Tracker bollette luce e gas + confronto offerte</t>
        </is>
      </c>
    </row>
    <row r="2">
      <c r="A2" s="2" t="inlineStr">
        <is>
          <t>Lumen &amp; Ledger — template gratuito, licenza CC BY 4.0. Nessuna macro, nessun collegamento esterno.</t>
        </is>
      </c>
    </row>
    <row r="3">
      <c r="A3" s="3" t="inlineStr"/>
    </row>
    <row r="4">
      <c r="A4" s="4" t="inlineStr">
        <is>
          <t>COME SI USA</t>
        </is>
      </c>
    </row>
    <row r="5">
      <c r="A5" s="3" t="inlineStr">
        <is>
          <t>1. Foglio 'Bollette': una riga per bolletta. Compila solo le celle gialle (dati presenti in prima pagina e nel 'dettaglio costi').</t>
        </is>
      </c>
    </row>
    <row r="6">
      <c r="A6" s="3" t="inlineStr">
        <is>
          <t>2. Il foglio calcola da solo il costo medio reale per kWh / Smc (tutto incluso) e i giorni fatturati.</t>
        </is>
      </c>
    </row>
    <row r="7">
      <c r="A7" s="3" t="inlineStr">
        <is>
          <t>3. Foglio 'Riepilogo': totali per anno e per fornitura, consumo annuo e costo medio. Cambia l'anno nella cella B2.</t>
        </is>
      </c>
    </row>
    <row r="8">
      <c r="A8" s="3" t="inlineStr">
        <is>
          <t>4. Foglio 'Confronto offerte': inserisci le offerte che stai valutando (prezzo materia energia + quota fissa di commercializzazione).</t>
        </is>
      </c>
    </row>
    <row r="9">
      <c r="A9" s="3" t="inlineStr">
        <is>
          <t xml:space="preserve">   Il confronto usa il tuo consumo annuo reale preso dal Riepilogo.</t>
        </is>
      </c>
    </row>
    <row r="10">
      <c r="A10" s="3" t="inlineStr"/>
    </row>
    <row r="11">
      <c r="A11" s="4" t="inlineStr">
        <is>
          <t>PERCHE' IL CONFRONTO GUARDA SOLO 'MATERIA ENERGIA' E 'COMMERCIALIZZAZIONE'</t>
        </is>
      </c>
    </row>
    <row r="12">
      <c r="A12" s="3" t="inlineStr">
        <is>
          <t>Trasporto e gestione del contatore, oneri di sistema e imposte sono fissati da ARERA e dallo Stato e sono uguali per tutti i venditori.</t>
        </is>
      </c>
    </row>
    <row r="13">
      <c r="A13" s="3" t="inlineStr">
        <is>
          <t>Quindi la differenza tra due offerte del mercato libero sta quasi tutta nel prezzo della materia (€/kWh o €/Smc) e nella quota fissa (€/mese).</t>
        </is>
      </c>
    </row>
    <row r="14">
      <c r="A14" s="3" t="inlineStr">
        <is>
          <t>Attenzione: IVA e accise si applicano anche su queste voci, per cui il risparmio reale e' un po' piu' alto di quello mostrato (stima prudente).</t>
        </is>
      </c>
    </row>
    <row r="15">
      <c r="A15" s="3" t="inlineStr"/>
    </row>
    <row r="16">
      <c r="A16" s="4" t="inlineStr">
        <is>
          <t>DOVE TROVARE LE OFFERTE</t>
        </is>
      </c>
    </row>
    <row r="17">
      <c r="A17" s="3" t="inlineStr">
        <is>
          <t>Portale Offerte ARERA (pubblico e gratuito): https://www.ilportaleofferte.it — confronta tutte le offerte dei venditori.</t>
        </is>
      </c>
    </row>
    <row r="18">
      <c r="A18" s="3" t="inlineStr">
        <is>
          <t>Per le offerte indicizzate (PUN / PSV + spread) inserisci nel confronto il prezzo medio atteso: PUN o PSV medio recente + spread.</t>
        </is>
      </c>
    </row>
    <row r="19">
      <c r="A19" s="3" t="inlineStr">
        <is>
          <t>Prezzi e valori di esempio nei fogli sono fittizi: sostituiscili con i tuoi.</t>
        </is>
      </c>
    </row>
    <row r="20">
      <c r="A20" s="3" t="inlineStr"/>
    </row>
    <row r="21">
      <c r="A21" s="4" t="inlineStr">
        <is>
          <t>NOTE</t>
        </is>
      </c>
    </row>
    <row r="22">
      <c r="A22" s="3" t="inlineStr">
        <is>
          <t>• Gas: 1 Smc ~ 10,7 kWh termici (potere calorifico convenzionale; il valore esatto e' in bolletta come coefficiente C/PCS).</t>
        </is>
      </c>
    </row>
    <row r="23">
      <c r="A23" s="3" t="inlineStr">
        <is>
          <t>• Le bollette con conguaglio coprono piu' mesi: il tracker usa le date di inizio/fine per calcolare i giorni e il costo giornaliero.</t>
        </is>
      </c>
    </row>
    <row r="24">
      <c r="A24" s="3" t="inlineStr">
        <is>
          <t>• Questo foglio e' uno strumento di calcolo, non una consulenza. Verifica sempre condizioni contrattuali e scheda sintetica dell'offerta.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2B33D"/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13" customWidth="1" min="4" max="4"/>
    <col width="14" customWidth="1" min="5" max="5"/>
    <col width="13" customWidth="1" min="6" max="6"/>
    <col width="14" customWidth="1" min="7" max="7"/>
    <col width="14" customWidth="1" min="8" max="8"/>
    <col width="11" customWidth="1" min="9" max="9"/>
    <col width="8" customWidth="1" min="10" max="10"/>
    <col width="10" customWidth="1" min="11" max="11"/>
    <col width="16" customWidth="1" min="12" max="12"/>
    <col width="30" customWidth="1" min="13" max="13"/>
  </cols>
  <sheetData>
    <row r="1" ht="45" customHeight="1">
      <c r="A1" s="5" t="inlineStr">
        <is>
          <t>Fornitura</t>
        </is>
      </c>
      <c r="B1" s="5" t="inlineStr">
        <is>
          <t>Fornitore</t>
        </is>
      </c>
      <c r="C1" s="5" t="inlineStr">
        <is>
          <t>Inizio periodo</t>
        </is>
      </c>
      <c r="D1" s="5" t="inlineStr">
        <is>
          <t>Fine periodo</t>
        </is>
      </c>
      <c r="E1" s="5" t="inlineStr">
        <is>
          <t>Consumo (kWh luce / Smc gas)</t>
        </is>
      </c>
      <c r="F1" s="5" t="inlineStr">
        <is>
          <t>Totale bolletta €</t>
        </is>
      </c>
      <c r="G1" s="5" t="inlineStr">
        <is>
          <t>di cui materia energia €</t>
        </is>
      </c>
      <c r="H1" s="5" t="inlineStr">
        <is>
          <t>di cui quota fissa commerc. €</t>
        </is>
      </c>
      <c r="I1" s="5" t="inlineStr">
        <is>
          <t>Stimata o reale?</t>
        </is>
      </c>
      <c r="J1" s="5" t="inlineStr">
        <is>
          <t>Giorni</t>
        </is>
      </c>
      <c r="K1" s="5" t="inlineStr">
        <is>
          <t>€ / giorno</t>
        </is>
      </c>
      <c r="L1" s="5" t="inlineStr">
        <is>
          <t>Costo medio tutto incluso (€/unita')</t>
        </is>
      </c>
      <c r="M1" s="5" t="inlineStr">
        <is>
          <t>Note</t>
        </is>
      </c>
    </row>
    <row r="2">
      <c r="A2" s="6" t="inlineStr">
        <is>
          <t>Luce</t>
        </is>
      </c>
      <c r="B2" s="6" t="inlineStr">
        <is>
          <t>Esempio Srl</t>
        </is>
      </c>
      <c r="C2" s="7" t="n">
        <v>46204</v>
      </c>
      <c r="D2" s="7" t="n">
        <v>46265</v>
      </c>
      <c r="E2" s="6" t="n">
        <v>410</v>
      </c>
      <c r="F2" s="8" t="n">
        <v>118.4</v>
      </c>
      <c r="G2" s="8" t="n">
        <v>52.3</v>
      </c>
      <c r="H2" s="8" t="n">
        <v>24</v>
      </c>
      <c r="I2" s="6" t="inlineStr">
        <is>
          <t>Reale</t>
        </is>
      </c>
      <c r="J2" s="9">
        <f>IF(AND(C2&lt;&gt;"",D2&lt;&gt;""),D2-C2+1,"")</f>
        <v/>
      </c>
      <c r="K2" s="10">
        <f>IF(AND(J2&lt;&gt;"",F2&lt;&gt;""),F2/J2,"")</f>
        <v/>
      </c>
      <c r="L2" s="11">
        <f>IF(AND(E2&gt;0,F2&lt;&gt;""),F2/E2,"")</f>
        <v/>
      </c>
      <c r="M2" s="6" t="n"/>
    </row>
    <row r="3">
      <c r="A3" s="6" t="inlineStr">
        <is>
          <t>Gas</t>
        </is>
      </c>
      <c r="B3" s="6" t="inlineStr">
        <is>
          <t>Esempio Srl</t>
        </is>
      </c>
      <c r="C3" s="7" t="n">
        <v>46204</v>
      </c>
      <c r="D3" s="7" t="n">
        <v>46265</v>
      </c>
      <c r="E3" s="6" t="n">
        <v>38</v>
      </c>
      <c r="F3" s="8" t="n">
        <v>61.2</v>
      </c>
      <c r="G3" s="8" t="n">
        <v>19.8</v>
      </c>
      <c r="H3" s="8" t="n">
        <v>20</v>
      </c>
      <c r="I3" s="6" t="inlineStr">
        <is>
          <t>Stimata</t>
        </is>
      </c>
      <c r="J3" s="9">
        <f>IF(AND(C3&lt;&gt;"",D3&lt;&gt;""),D3-C3+1,"")</f>
        <v/>
      </c>
      <c r="K3" s="10">
        <f>IF(AND(J3&lt;&gt;"",F3&lt;&gt;""),F3/J3,"")</f>
        <v/>
      </c>
      <c r="L3" s="11">
        <f>IF(AND(E3&gt;0,F3&lt;&gt;""),F3/E3,"")</f>
        <v/>
      </c>
      <c r="M3" s="6" t="n"/>
    </row>
    <row r="4">
      <c r="A4" s="6" t="inlineStr">
        <is>
          <t>Luce</t>
        </is>
      </c>
      <c r="B4" s="6" t="inlineStr">
        <is>
          <t>Esempio Srl</t>
        </is>
      </c>
      <c r="C4" s="7" t="n">
        <v>46266</v>
      </c>
      <c r="D4" s="7" t="n">
        <v>46326</v>
      </c>
      <c r="E4" s="6" t="n">
        <v>380</v>
      </c>
      <c r="F4" s="8" t="n">
        <v>112.1</v>
      </c>
      <c r="G4" s="8" t="n">
        <v>48.5</v>
      </c>
      <c r="H4" s="8" t="n">
        <v>24</v>
      </c>
      <c r="I4" s="6" t="inlineStr">
        <is>
          <t>Reale</t>
        </is>
      </c>
      <c r="J4" s="9">
        <f>IF(AND(C4&lt;&gt;"",D4&lt;&gt;""),D4-C4+1,"")</f>
        <v/>
      </c>
      <c r="K4" s="10">
        <f>IF(AND(J4&lt;&gt;"",F4&lt;&gt;""),F4/J4,"")</f>
        <v/>
      </c>
      <c r="L4" s="11">
        <f>IF(AND(E4&gt;0,F4&lt;&gt;""),F4/E4,"")</f>
        <v/>
      </c>
      <c r="M4" s="6" t="n"/>
    </row>
    <row r="5">
      <c r="A5" s="6" t="n"/>
      <c r="B5" s="6" t="n"/>
      <c r="C5" s="7" t="n"/>
      <c r="D5" s="7" t="n"/>
      <c r="E5" s="6" t="n"/>
      <c r="F5" s="8" t="n"/>
      <c r="G5" s="8" t="n"/>
      <c r="H5" s="8" t="n"/>
      <c r="I5" s="6" t="n"/>
      <c r="J5" s="9">
        <f>IF(AND(C5&lt;&gt;"",D5&lt;&gt;""),D5-C5+1,"")</f>
        <v/>
      </c>
      <c r="K5" s="10">
        <f>IF(AND(J5&lt;&gt;"",F5&lt;&gt;""),F5/J5,"")</f>
        <v/>
      </c>
      <c r="L5" s="11">
        <f>IF(AND(E5&gt;0,F5&lt;&gt;""),F5/E5,"")</f>
        <v/>
      </c>
      <c r="M5" s="6" t="n"/>
    </row>
    <row r="6">
      <c r="A6" s="6" t="n"/>
      <c r="B6" s="6" t="n"/>
      <c r="C6" s="7" t="n"/>
      <c r="D6" s="7" t="n"/>
      <c r="E6" s="6" t="n"/>
      <c r="F6" s="8" t="n"/>
      <c r="G6" s="8" t="n"/>
      <c r="H6" s="8" t="n"/>
      <c r="I6" s="6" t="n"/>
      <c r="J6" s="9">
        <f>IF(AND(C6&lt;&gt;"",D6&lt;&gt;""),D6-C6+1,"")</f>
        <v/>
      </c>
      <c r="K6" s="10">
        <f>IF(AND(J6&lt;&gt;"",F6&lt;&gt;""),F6/J6,"")</f>
        <v/>
      </c>
      <c r="L6" s="11">
        <f>IF(AND(E6&gt;0,F6&lt;&gt;""),F6/E6,"")</f>
        <v/>
      </c>
      <c r="M6" s="6" t="n"/>
    </row>
    <row r="7">
      <c r="A7" s="6" t="n"/>
      <c r="B7" s="6" t="n"/>
      <c r="C7" s="7" t="n"/>
      <c r="D7" s="7" t="n"/>
      <c r="E7" s="6" t="n"/>
      <c r="F7" s="8" t="n"/>
      <c r="G7" s="8" t="n"/>
      <c r="H7" s="8" t="n"/>
      <c r="I7" s="6" t="n"/>
      <c r="J7" s="9">
        <f>IF(AND(C7&lt;&gt;"",D7&lt;&gt;""),D7-C7+1,"")</f>
        <v/>
      </c>
      <c r="K7" s="10">
        <f>IF(AND(J7&lt;&gt;"",F7&lt;&gt;""),F7/J7,"")</f>
        <v/>
      </c>
      <c r="L7" s="11">
        <f>IF(AND(E7&gt;0,F7&lt;&gt;""),F7/E7,"")</f>
        <v/>
      </c>
      <c r="M7" s="6" t="n"/>
    </row>
    <row r="8">
      <c r="A8" s="6" t="n"/>
      <c r="B8" s="6" t="n"/>
      <c r="C8" s="7" t="n"/>
      <c r="D8" s="7" t="n"/>
      <c r="E8" s="6" t="n"/>
      <c r="F8" s="8" t="n"/>
      <c r="G8" s="8" t="n"/>
      <c r="H8" s="8" t="n"/>
      <c r="I8" s="6" t="n"/>
      <c r="J8" s="9">
        <f>IF(AND(C8&lt;&gt;"",D8&lt;&gt;""),D8-C8+1,"")</f>
        <v/>
      </c>
      <c r="K8" s="10">
        <f>IF(AND(J8&lt;&gt;"",F8&lt;&gt;""),F8/J8,"")</f>
        <v/>
      </c>
      <c r="L8" s="11">
        <f>IF(AND(E8&gt;0,F8&lt;&gt;""),F8/E8,"")</f>
        <v/>
      </c>
      <c r="M8" s="6" t="n"/>
    </row>
    <row r="9">
      <c r="A9" s="6" t="n"/>
      <c r="B9" s="6" t="n"/>
      <c r="C9" s="7" t="n"/>
      <c r="D9" s="7" t="n"/>
      <c r="E9" s="6" t="n"/>
      <c r="F9" s="8" t="n"/>
      <c r="G9" s="8" t="n"/>
      <c r="H9" s="8" t="n"/>
      <c r="I9" s="6" t="n"/>
      <c r="J9" s="9">
        <f>IF(AND(C9&lt;&gt;"",D9&lt;&gt;""),D9-C9+1,"")</f>
        <v/>
      </c>
      <c r="K9" s="10">
        <f>IF(AND(J9&lt;&gt;"",F9&lt;&gt;""),F9/J9,"")</f>
        <v/>
      </c>
      <c r="L9" s="11">
        <f>IF(AND(E9&gt;0,F9&lt;&gt;""),F9/E9,"")</f>
        <v/>
      </c>
      <c r="M9" s="6" t="n"/>
    </row>
    <row r="10">
      <c r="A10" s="6" t="n"/>
      <c r="B10" s="6" t="n"/>
      <c r="C10" s="7" t="n"/>
      <c r="D10" s="7" t="n"/>
      <c r="E10" s="6" t="n"/>
      <c r="F10" s="8" t="n"/>
      <c r="G10" s="8" t="n"/>
      <c r="H10" s="8" t="n"/>
      <c r="I10" s="6" t="n"/>
      <c r="J10" s="9">
        <f>IF(AND(C10&lt;&gt;"",D10&lt;&gt;""),D10-C10+1,"")</f>
        <v/>
      </c>
      <c r="K10" s="10">
        <f>IF(AND(J10&lt;&gt;"",F10&lt;&gt;""),F10/J10,"")</f>
        <v/>
      </c>
      <c r="L10" s="11">
        <f>IF(AND(E10&gt;0,F10&lt;&gt;""),F10/E10,"")</f>
        <v/>
      </c>
      <c r="M10" s="6" t="n"/>
    </row>
    <row r="11">
      <c r="A11" s="6" t="n"/>
      <c r="B11" s="6" t="n"/>
      <c r="C11" s="7" t="n"/>
      <c r="D11" s="7" t="n"/>
      <c r="E11" s="6" t="n"/>
      <c r="F11" s="8" t="n"/>
      <c r="G11" s="8" t="n"/>
      <c r="H11" s="8" t="n"/>
      <c r="I11" s="6" t="n"/>
      <c r="J11" s="9">
        <f>IF(AND(C11&lt;&gt;"",D11&lt;&gt;""),D11-C11+1,"")</f>
        <v/>
      </c>
      <c r="K11" s="10">
        <f>IF(AND(J11&lt;&gt;"",F11&lt;&gt;""),F11/J11,"")</f>
        <v/>
      </c>
      <c r="L11" s="11">
        <f>IF(AND(E11&gt;0,F11&lt;&gt;""),F11/E11,"")</f>
        <v/>
      </c>
      <c r="M11" s="6" t="n"/>
    </row>
    <row r="12">
      <c r="A12" s="6" t="n"/>
      <c r="B12" s="6" t="n"/>
      <c r="C12" s="7" t="n"/>
      <c r="D12" s="7" t="n"/>
      <c r="E12" s="6" t="n"/>
      <c r="F12" s="8" t="n"/>
      <c r="G12" s="8" t="n"/>
      <c r="H12" s="8" t="n"/>
      <c r="I12" s="6" t="n"/>
      <c r="J12" s="9">
        <f>IF(AND(C12&lt;&gt;"",D12&lt;&gt;""),D12-C12+1,"")</f>
        <v/>
      </c>
      <c r="K12" s="10">
        <f>IF(AND(J12&lt;&gt;"",F12&lt;&gt;""),F12/J12,"")</f>
        <v/>
      </c>
      <c r="L12" s="11">
        <f>IF(AND(E12&gt;0,F12&lt;&gt;""),F12/E12,"")</f>
        <v/>
      </c>
      <c r="M12" s="6" t="n"/>
    </row>
    <row r="13">
      <c r="A13" s="6" t="n"/>
      <c r="B13" s="6" t="n"/>
      <c r="C13" s="7" t="n"/>
      <c r="D13" s="7" t="n"/>
      <c r="E13" s="6" t="n"/>
      <c r="F13" s="8" t="n"/>
      <c r="G13" s="8" t="n"/>
      <c r="H13" s="8" t="n"/>
      <c r="I13" s="6" t="n"/>
      <c r="J13" s="9">
        <f>IF(AND(C13&lt;&gt;"",D13&lt;&gt;""),D13-C13+1,"")</f>
        <v/>
      </c>
      <c r="K13" s="10">
        <f>IF(AND(J13&lt;&gt;"",F13&lt;&gt;""),F13/J13,"")</f>
        <v/>
      </c>
      <c r="L13" s="11">
        <f>IF(AND(E13&gt;0,F13&lt;&gt;""),F13/E13,"")</f>
        <v/>
      </c>
      <c r="M13" s="6" t="n"/>
    </row>
    <row r="14">
      <c r="A14" s="6" t="n"/>
      <c r="B14" s="6" t="n"/>
      <c r="C14" s="7" t="n"/>
      <c r="D14" s="7" t="n"/>
      <c r="E14" s="6" t="n"/>
      <c r="F14" s="8" t="n"/>
      <c r="G14" s="8" t="n"/>
      <c r="H14" s="8" t="n"/>
      <c r="I14" s="6" t="n"/>
      <c r="J14" s="9">
        <f>IF(AND(C14&lt;&gt;"",D14&lt;&gt;""),D14-C14+1,"")</f>
        <v/>
      </c>
      <c r="K14" s="10">
        <f>IF(AND(J14&lt;&gt;"",F14&lt;&gt;""),F14/J14,"")</f>
        <v/>
      </c>
      <c r="L14" s="11">
        <f>IF(AND(E14&gt;0,F14&lt;&gt;""),F14/E14,"")</f>
        <v/>
      </c>
      <c r="M14" s="6" t="n"/>
    </row>
    <row r="15">
      <c r="A15" s="6" t="n"/>
      <c r="B15" s="6" t="n"/>
      <c r="C15" s="7" t="n"/>
      <c r="D15" s="7" t="n"/>
      <c r="E15" s="6" t="n"/>
      <c r="F15" s="8" t="n"/>
      <c r="G15" s="8" t="n"/>
      <c r="H15" s="8" t="n"/>
      <c r="I15" s="6" t="n"/>
      <c r="J15" s="9">
        <f>IF(AND(C15&lt;&gt;"",D15&lt;&gt;""),D15-C15+1,"")</f>
        <v/>
      </c>
      <c r="K15" s="10">
        <f>IF(AND(J15&lt;&gt;"",F15&lt;&gt;""),F15/J15,"")</f>
        <v/>
      </c>
      <c r="L15" s="11">
        <f>IF(AND(E15&gt;0,F15&lt;&gt;""),F15/E15,"")</f>
        <v/>
      </c>
      <c r="M15" s="6" t="n"/>
    </row>
    <row r="16">
      <c r="A16" s="6" t="n"/>
      <c r="B16" s="6" t="n"/>
      <c r="C16" s="7" t="n"/>
      <c r="D16" s="7" t="n"/>
      <c r="E16" s="6" t="n"/>
      <c r="F16" s="8" t="n"/>
      <c r="G16" s="8" t="n"/>
      <c r="H16" s="8" t="n"/>
      <c r="I16" s="6" t="n"/>
      <c r="J16" s="9">
        <f>IF(AND(C16&lt;&gt;"",D16&lt;&gt;""),D16-C16+1,"")</f>
        <v/>
      </c>
      <c r="K16" s="10">
        <f>IF(AND(J16&lt;&gt;"",F16&lt;&gt;""),F16/J16,"")</f>
        <v/>
      </c>
      <c r="L16" s="11">
        <f>IF(AND(E16&gt;0,F16&lt;&gt;""),F16/E16,"")</f>
        <v/>
      </c>
      <c r="M16" s="6" t="n"/>
    </row>
    <row r="17">
      <c r="A17" s="6" t="n"/>
      <c r="B17" s="6" t="n"/>
      <c r="C17" s="7" t="n"/>
      <c r="D17" s="7" t="n"/>
      <c r="E17" s="6" t="n"/>
      <c r="F17" s="8" t="n"/>
      <c r="G17" s="8" t="n"/>
      <c r="H17" s="8" t="n"/>
      <c r="I17" s="6" t="n"/>
      <c r="J17" s="9">
        <f>IF(AND(C17&lt;&gt;"",D17&lt;&gt;""),D17-C17+1,"")</f>
        <v/>
      </c>
      <c r="K17" s="10">
        <f>IF(AND(J17&lt;&gt;"",F17&lt;&gt;""),F17/J17,"")</f>
        <v/>
      </c>
      <c r="L17" s="11">
        <f>IF(AND(E17&gt;0,F17&lt;&gt;""),F17/E17,"")</f>
        <v/>
      </c>
      <c r="M17" s="6" t="n"/>
    </row>
    <row r="18">
      <c r="A18" s="6" t="n"/>
      <c r="B18" s="6" t="n"/>
      <c r="C18" s="7" t="n"/>
      <c r="D18" s="7" t="n"/>
      <c r="E18" s="6" t="n"/>
      <c r="F18" s="8" t="n"/>
      <c r="G18" s="8" t="n"/>
      <c r="H18" s="8" t="n"/>
      <c r="I18" s="6" t="n"/>
      <c r="J18" s="9">
        <f>IF(AND(C18&lt;&gt;"",D18&lt;&gt;""),D18-C18+1,"")</f>
        <v/>
      </c>
      <c r="K18" s="10">
        <f>IF(AND(J18&lt;&gt;"",F18&lt;&gt;""),F18/J18,"")</f>
        <v/>
      </c>
      <c r="L18" s="11">
        <f>IF(AND(E18&gt;0,F18&lt;&gt;""),F18/E18,"")</f>
        <v/>
      </c>
      <c r="M18" s="6" t="n"/>
    </row>
    <row r="19">
      <c r="A19" s="6" t="n"/>
      <c r="B19" s="6" t="n"/>
      <c r="C19" s="7" t="n"/>
      <c r="D19" s="7" t="n"/>
      <c r="E19" s="6" t="n"/>
      <c r="F19" s="8" t="n"/>
      <c r="G19" s="8" t="n"/>
      <c r="H19" s="8" t="n"/>
      <c r="I19" s="6" t="n"/>
      <c r="J19" s="9">
        <f>IF(AND(C19&lt;&gt;"",D19&lt;&gt;""),D19-C19+1,"")</f>
        <v/>
      </c>
      <c r="K19" s="10">
        <f>IF(AND(J19&lt;&gt;"",F19&lt;&gt;""),F19/J19,"")</f>
        <v/>
      </c>
      <c r="L19" s="11">
        <f>IF(AND(E19&gt;0,F19&lt;&gt;""),F19/E19,"")</f>
        <v/>
      </c>
      <c r="M19" s="6" t="n"/>
    </row>
    <row r="20">
      <c r="A20" s="6" t="n"/>
      <c r="B20" s="6" t="n"/>
      <c r="C20" s="7" t="n"/>
      <c r="D20" s="7" t="n"/>
      <c r="E20" s="6" t="n"/>
      <c r="F20" s="8" t="n"/>
      <c r="G20" s="8" t="n"/>
      <c r="H20" s="8" t="n"/>
      <c r="I20" s="6" t="n"/>
      <c r="J20" s="9">
        <f>IF(AND(C20&lt;&gt;"",D20&lt;&gt;""),D20-C20+1,"")</f>
        <v/>
      </c>
      <c r="K20" s="10">
        <f>IF(AND(J20&lt;&gt;"",F20&lt;&gt;""),F20/J20,"")</f>
        <v/>
      </c>
      <c r="L20" s="11">
        <f>IF(AND(E20&gt;0,F20&lt;&gt;""),F20/E20,"")</f>
        <v/>
      </c>
      <c r="M20" s="6" t="n"/>
    </row>
    <row r="21">
      <c r="A21" s="6" t="n"/>
      <c r="B21" s="6" t="n"/>
      <c r="C21" s="7" t="n"/>
      <c r="D21" s="7" t="n"/>
      <c r="E21" s="6" t="n"/>
      <c r="F21" s="8" t="n"/>
      <c r="G21" s="8" t="n"/>
      <c r="H21" s="8" t="n"/>
      <c r="I21" s="6" t="n"/>
      <c r="J21" s="9">
        <f>IF(AND(C21&lt;&gt;"",D21&lt;&gt;""),D21-C21+1,"")</f>
        <v/>
      </c>
      <c r="K21" s="10">
        <f>IF(AND(J21&lt;&gt;"",F21&lt;&gt;""),F21/J21,"")</f>
        <v/>
      </c>
      <c r="L21" s="11">
        <f>IF(AND(E21&gt;0,F21&lt;&gt;""),F21/E21,"")</f>
        <v/>
      </c>
      <c r="M21" s="6" t="n"/>
    </row>
    <row r="22">
      <c r="A22" s="6" t="n"/>
      <c r="B22" s="6" t="n"/>
      <c r="C22" s="7" t="n"/>
      <c r="D22" s="7" t="n"/>
      <c r="E22" s="6" t="n"/>
      <c r="F22" s="8" t="n"/>
      <c r="G22" s="8" t="n"/>
      <c r="H22" s="8" t="n"/>
      <c r="I22" s="6" t="n"/>
      <c r="J22" s="9">
        <f>IF(AND(C22&lt;&gt;"",D22&lt;&gt;""),D22-C22+1,"")</f>
        <v/>
      </c>
      <c r="K22" s="10">
        <f>IF(AND(J22&lt;&gt;"",F22&lt;&gt;""),F22/J22,"")</f>
        <v/>
      </c>
      <c r="L22" s="11">
        <f>IF(AND(E22&gt;0,F22&lt;&gt;""),F22/E22,"")</f>
        <v/>
      </c>
      <c r="M22" s="6" t="n"/>
    </row>
    <row r="23">
      <c r="A23" s="6" t="n"/>
      <c r="B23" s="6" t="n"/>
      <c r="C23" s="7" t="n"/>
      <c r="D23" s="7" t="n"/>
      <c r="E23" s="6" t="n"/>
      <c r="F23" s="8" t="n"/>
      <c r="G23" s="8" t="n"/>
      <c r="H23" s="8" t="n"/>
      <c r="I23" s="6" t="n"/>
      <c r="J23" s="9">
        <f>IF(AND(C23&lt;&gt;"",D23&lt;&gt;""),D23-C23+1,"")</f>
        <v/>
      </c>
      <c r="K23" s="10">
        <f>IF(AND(J23&lt;&gt;"",F23&lt;&gt;""),F23/J23,"")</f>
        <v/>
      </c>
      <c r="L23" s="11">
        <f>IF(AND(E23&gt;0,F23&lt;&gt;""),F23/E23,"")</f>
        <v/>
      </c>
      <c r="M23" s="6" t="n"/>
    </row>
    <row r="24">
      <c r="A24" s="6" t="n"/>
      <c r="B24" s="6" t="n"/>
      <c r="C24" s="7" t="n"/>
      <c r="D24" s="7" t="n"/>
      <c r="E24" s="6" t="n"/>
      <c r="F24" s="8" t="n"/>
      <c r="G24" s="8" t="n"/>
      <c r="H24" s="8" t="n"/>
      <c r="I24" s="6" t="n"/>
      <c r="J24" s="9">
        <f>IF(AND(C24&lt;&gt;"",D24&lt;&gt;""),D24-C24+1,"")</f>
        <v/>
      </c>
      <c r="K24" s="10">
        <f>IF(AND(J24&lt;&gt;"",F24&lt;&gt;""),F24/J24,"")</f>
        <v/>
      </c>
      <c r="L24" s="11">
        <f>IF(AND(E24&gt;0,F24&lt;&gt;""),F24/E24,"")</f>
        <v/>
      </c>
      <c r="M24" s="6" t="n"/>
    </row>
    <row r="25">
      <c r="A25" s="6" t="n"/>
      <c r="B25" s="6" t="n"/>
      <c r="C25" s="7" t="n"/>
      <c r="D25" s="7" t="n"/>
      <c r="E25" s="6" t="n"/>
      <c r="F25" s="8" t="n"/>
      <c r="G25" s="8" t="n"/>
      <c r="H25" s="8" t="n"/>
      <c r="I25" s="6" t="n"/>
      <c r="J25" s="9">
        <f>IF(AND(C25&lt;&gt;"",D25&lt;&gt;""),D25-C25+1,"")</f>
        <v/>
      </c>
      <c r="K25" s="10">
        <f>IF(AND(J25&lt;&gt;"",F25&lt;&gt;""),F25/J25,"")</f>
        <v/>
      </c>
      <c r="L25" s="11">
        <f>IF(AND(E25&gt;0,F25&lt;&gt;""),F25/E25,"")</f>
        <v/>
      </c>
      <c r="M25" s="6" t="n"/>
    </row>
    <row r="26">
      <c r="A26" s="6" t="n"/>
      <c r="B26" s="6" t="n"/>
      <c r="C26" s="7" t="n"/>
      <c r="D26" s="7" t="n"/>
      <c r="E26" s="6" t="n"/>
      <c r="F26" s="8" t="n"/>
      <c r="G26" s="8" t="n"/>
      <c r="H26" s="8" t="n"/>
      <c r="I26" s="6" t="n"/>
      <c r="J26" s="9">
        <f>IF(AND(C26&lt;&gt;"",D26&lt;&gt;""),D26-C26+1,"")</f>
        <v/>
      </c>
      <c r="K26" s="10">
        <f>IF(AND(J26&lt;&gt;"",F26&lt;&gt;""),F26/J26,"")</f>
        <v/>
      </c>
      <c r="L26" s="11">
        <f>IF(AND(E26&gt;0,F26&lt;&gt;""),F26/E26,"")</f>
        <v/>
      </c>
      <c r="M26" s="6" t="n"/>
    </row>
    <row r="27">
      <c r="A27" s="6" t="n"/>
      <c r="B27" s="6" t="n"/>
      <c r="C27" s="7" t="n"/>
      <c r="D27" s="7" t="n"/>
      <c r="E27" s="6" t="n"/>
      <c r="F27" s="8" t="n"/>
      <c r="G27" s="8" t="n"/>
      <c r="H27" s="8" t="n"/>
      <c r="I27" s="6" t="n"/>
      <c r="J27" s="9">
        <f>IF(AND(C27&lt;&gt;"",D27&lt;&gt;""),D27-C27+1,"")</f>
        <v/>
      </c>
      <c r="K27" s="10">
        <f>IF(AND(J27&lt;&gt;"",F27&lt;&gt;""),F27/J27,"")</f>
        <v/>
      </c>
      <c r="L27" s="11">
        <f>IF(AND(E27&gt;0,F27&lt;&gt;""),F27/E27,"")</f>
        <v/>
      </c>
      <c r="M27" s="6" t="n"/>
    </row>
    <row r="28">
      <c r="A28" s="6" t="n"/>
      <c r="B28" s="6" t="n"/>
      <c r="C28" s="7" t="n"/>
      <c r="D28" s="7" t="n"/>
      <c r="E28" s="6" t="n"/>
      <c r="F28" s="8" t="n"/>
      <c r="G28" s="8" t="n"/>
      <c r="H28" s="8" t="n"/>
      <c r="I28" s="6" t="n"/>
      <c r="J28" s="9">
        <f>IF(AND(C28&lt;&gt;"",D28&lt;&gt;""),D28-C28+1,"")</f>
        <v/>
      </c>
      <c r="K28" s="10">
        <f>IF(AND(J28&lt;&gt;"",F28&lt;&gt;""),F28/J28,"")</f>
        <v/>
      </c>
      <c r="L28" s="11">
        <f>IF(AND(E28&gt;0,F28&lt;&gt;""),F28/E28,"")</f>
        <v/>
      </c>
      <c r="M28" s="6" t="n"/>
    </row>
    <row r="29">
      <c r="A29" s="6" t="n"/>
      <c r="B29" s="6" t="n"/>
      <c r="C29" s="7" t="n"/>
      <c r="D29" s="7" t="n"/>
      <c r="E29" s="6" t="n"/>
      <c r="F29" s="8" t="n"/>
      <c r="G29" s="8" t="n"/>
      <c r="H29" s="8" t="n"/>
      <c r="I29" s="6" t="n"/>
      <c r="J29" s="9">
        <f>IF(AND(C29&lt;&gt;"",D29&lt;&gt;""),D29-C29+1,"")</f>
        <v/>
      </c>
      <c r="K29" s="10">
        <f>IF(AND(J29&lt;&gt;"",F29&lt;&gt;""),F29/J29,"")</f>
        <v/>
      </c>
      <c r="L29" s="11">
        <f>IF(AND(E29&gt;0,F29&lt;&gt;""),F29/E29,"")</f>
        <v/>
      </c>
      <c r="M29" s="6" t="n"/>
    </row>
    <row r="30">
      <c r="A30" s="6" t="n"/>
      <c r="B30" s="6" t="n"/>
      <c r="C30" s="7" t="n"/>
      <c r="D30" s="7" t="n"/>
      <c r="E30" s="6" t="n"/>
      <c r="F30" s="8" t="n"/>
      <c r="G30" s="8" t="n"/>
      <c r="H30" s="8" t="n"/>
      <c r="I30" s="6" t="n"/>
      <c r="J30" s="9">
        <f>IF(AND(C30&lt;&gt;"",D30&lt;&gt;""),D30-C30+1,"")</f>
        <v/>
      </c>
      <c r="K30" s="10">
        <f>IF(AND(J30&lt;&gt;"",F30&lt;&gt;""),F30/J30,"")</f>
        <v/>
      </c>
      <c r="L30" s="11">
        <f>IF(AND(E30&gt;0,F30&lt;&gt;""),F30/E30,"")</f>
        <v/>
      </c>
      <c r="M30" s="6" t="n"/>
    </row>
    <row r="31">
      <c r="A31" s="6" t="n"/>
      <c r="B31" s="6" t="n"/>
      <c r="C31" s="7" t="n"/>
      <c r="D31" s="7" t="n"/>
      <c r="E31" s="6" t="n"/>
      <c r="F31" s="8" t="n"/>
      <c r="G31" s="8" t="n"/>
      <c r="H31" s="8" t="n"/>
      <c r="I31" s="6" t="n"/>
      <c r="J31" s="9">
        <f>IF(AND(C31&lt;&gt;"",D31&lt;&gt;""),D31-C31+1,"")</f>
        <v/>
      </c>
      <c r="K31" s="10">
        <f>IF(AND(J31&lt;&gt;"",F31&lt;&gt;""),F31/J31,"")</f>
        <v/>
      </c>
      <c r="L31" s="11">
        <f>IF(AND(E31&gt;0,F31&lt;&gt;""),F31/E31,"")</f>
        <v/>
      </c>
      <c r="M31" s="6" t="n"/>
    </row>
    <row r="32">
      <c r="A32" s="6" t="n"/>
      <c r="B32" s="6" t="n"/>
      <c r="C32" s="7" t="n"/>
      <c r="D32" s="7" t="n"/>
      <c r="E32" s="6" t="n"/>
      <c r="F32" s="8" t="n"/>
      <c r="G32" s="8" t="n"/>
      <c r="H32" s="8" t="n"/>
      <c r="I32" s="6" t="n"/>
      <c r="J32" s="9">
        <f>IF(AND(C32&lt;&gt;"",D32&lt;&gt;""),D32-C32+1,"")</f>
        <v/>
      </c>
      <c r="K32" s="10">
        <f>IF(AND(J32&lt;&gt;"",F32&lt;&gt;""),F32/J32,"")</f>
        <v/>
      </c>
      <c r="L32" s="11">
        <f>IF(AND(E32&gt;0,F32&lt;&gt;""),F32/E32,"")</f>
        <v/>
      </c>
      <c r="M32" s="6" t="n"/>
    </row>
    <row r="33">
      <c r="A33" s="6" t="n"/>
      <c r="B33" s="6" t="n"/>
      <c r="C33" s="7" t="n"/>
      <c r="D33" s="7" t="n"/>
      <c r="E33" s="6" t="n"/>
      <c r="F33" s="8" t="n"/>
      <c r="G33" s="8" t="n"/>
      <c r="H33" s="8" t="n"/>
      <c r="I33" s="6" t="n"/>
      <c r="J33" s="9">
        <f>IF(AND(C33&lt;&gt;"",D33&lt;&gt;""),D33-C33+1,"")</f>
        <v/>
      </c>
      <c r="K33" s="10">
        <f>IF(AND(J33&lt;&gt;"",F33&lt;&gt;""),F33/J33,"")</f>
        <v/>
      </c>
      <c r="L33" s="11">
        <f>IF(AND(E33&gt;0,F33&lt;&gt;""),F33/E33,"")</f>
        <v/>
      </c>
      <c r="M33" s="6" t="n"/>
    </row>
    <row r="34">
      <c r="A34" s="6" t="n"/>
      <c r="B34" s="6" t="n"/>
      <c r="C34" s="7" t="n"/>
      <c r="D34" s="7" t="n"/>
      <c r="E34" s="6" t="n"/>
      <c r="F34" s="8" t="n"/>
      <c r="G34" s="8" t="n"/>
      <c r="H34" s="8" t="n"/>
      <c r="I34" s="6" t="n"/>
      <c r="J34" s="9">
        <f>IF(AND(C34&lt;&gt;"",D34&lt;&gt;""),D34-C34+1,"")</f>
        <v/>
      </c>
      <c r="K34" s="10">
        <f>IF(AND(J34&lt;&gt;"",F34&lt;&gt;""),F34/J34,"")</f>
        <v/>
      </c>
      <c r="L34" s="11">
        <f>IF(AND(E34&gt;0,F34&lt;&gt;""),F34/E34,"")</f>
        <v/>
      </c>
      <c r="M34" s="6" t="n"/>
    </row>
    <row r="35">
      <c r="A35" s="6" t="n"/>
      <c r="B35" s="6" t="n"/>
      <c r="C35" s="7" t="n"/>
      <c r="D35" s="7" t="n"/>
      <c r="E35" s="6" t="n"/>
      <c r="F35" s="8" t="n"/>
      <c r="G35" s="8" t="n"/>
      <c r="H35" s="8" t="n"/>
      <c r="I35" s="6" t="n"/>
      <c r="J35" s="9">
        <f>IF(AND(C35&lt;&gt;"",D35&lt;&gt;""),D35-C35+1,"")</f>
        <v/>
      </c>
      <c r="K35" s="10">
        <f>IF(AND(J35&lt;&gt;"",F35&lt;&gt;""),F35/J35,"")</f>
        <v/>
      </c>
      <c r="L35" s="11">
        <f>IF(AND(E35&gt;0,F35&lt;&gt;""),F35/E35,"")</f>
        <v/>
      </c>
      <c r="M35" s="6" t="n"/>
    </row>
    <row r="36">
      <c r="A36" s="6" t="n"/>
      <c r="B36" s="6" t="n"/>
      <c r="C36" s="7" t="n"/>
      <c r="D36" s="7" t="n"/>
      <c r="E36" s="6" t="n"/>
      <c r="F36" s="8" t="n"/>
      <c r="G36" s="8" t="n"/>
      <c r="H36" s="8" t="n"/>
      <c r="I36" s="6" t="n"/>
      <c r="J36" s="9">
        <f>IF(AND(C36&lt;&gt;"",D36&lt;&gt;""),D36-C36+1,"")</f>
        <v/>
      </c>
      <c r="K36" s="10">
        <f>IF(AND(J36&lt;&gt;"",F36&lt;&gt;""),F36/J36,"")</f>
        <v/>
      </c>
      <c r="L36" s="11">
        <f>IF(AND(E36&gt;0,F36&lt;&gt;""),F36/E36,"")</f>
        <v/>
      </c>
      <c r="M36" s="6" t="n"/>
    </row>
    <row r="37">
      <c r="A37" s="6" t="n"/>
      <c r="B37" s="6" t="n"/>
      <c r="C37" s="7" t="n"/>
      <c r="D37" s="7" t="n"/>
      <c r="E37" s="6" t="n"/>
      <c r="F37" s="8" t="n"/>
      <c r="G37" s="8" t="n"/>
      <c r="H37" s="8" t="n"/>
      <c r="I37" s="6" t="n"/>
      <c r="J37" s="9">
        <f>IF(AND(C37&lt;&gt;"",D37&lt;&gt;""),D37-C37+1,"")</f>
        <v/>
      </c>
      <c r="K37" s="10">
        <f>IF(AND(J37&lt;&gt;"",F37&lt;&gt;""),F37/J37,"")</f>
        <v/>
      </c>
      <c r="L37" s="11">
        <f>IF(AND(E37&gt;0,F37&lt;&gt;""),F37/E37,"")</f>
        <v/>
      </c>
      <c r="M37" s="6" t="n"/>
    </row>
    <row r="38">
      <c r="A38" s="6" t="n"/>
      <c r="B38" s="6" t="n"/>
      <c r="C38" s="7" t="n"/>
      <c r="D38" s="7" t="n"/>
      <c r="E38" s="6" t="n"/>
      <c r="F38" s="8" t="n"/>
      <c r="G38" s="8" t="n"/>
      <c r="H38" s="8" t="n"/>
      <c r="I38" s="6" t="n"/>
      <c r="J38" s="9">
        <f>IF(AND(C38&lt;&gt;"",D38&lt;&gt;""),D38-C38+1,"")</f>
        <v/>
      </c>
      <c r="K38" s="10">
        <f>IF(AND(J38&lt;&gt;"",F38&lt;&gt;""),F38/J38,"")</f>
        <v/>
      </c>
      <c r="L38" s="11">
        <f>IF(AND(E38&gt;0,F38&lt;&gt;""),F38/E38,"")</f>
        <v/>
      </c>
      <c r="M38" s="6" t="n"/>
    </row>
    <row r="39">
      <c r="A39" s="6" t="n"/>
      <c r="B39" s="6" t="n"/>
      <c r="C39" s="7" t="n"/>
      <c r="D39" s="7" t="n"/>
      <c r="E39" s="6" t="n"/>
      <c r="F39" s="8" t="n"/>
      <c r="G39" s="8" t="n"/>
      <c r="H39" s="8" t="n"/>
      <c r="I39" s="6" t="n"/>
      <c r="J39" s="9">
        <f>IF(AND(C39&lt;&gt;"",D39&lt;&gt;""),D39-C39+1,"")</f>
        <v/>
      </c>
      <c r="K39" s="10">
        <f>IF(AND(J39&lt;&gt;"",F39&lt;&gt;""),F39/J39,"")</f>
        <v/>
      </c>
      <c r="L39" s="11">
        <f>IF(AND(E39&gt;0,F39&lt;&gt;""),F39/E39,"")</f>
        <v/>
      </c>
      <c r="M39" s="6" t="n"/>
    </row>
    <row r="40">
      <c r="A40" s="6" t="n"/>
      <c r="B40" s="6" t="n"/>
      <c r="C40" s="7" t="n"/>
      <c r="D40" s="7" t="n"/>
      <c r="E40" s="6" t="n"/>
      <c r="F40" s="8" t="n"/>
      <c r="G40" s="8" t="n"/>
      <c r="H40" s="8" t="n"/>
      <c r="I40" s="6" t="n"/>
      <c r="J40" s="9">
        <f>IF(AND(C40&lt;&gt;"",D40&lt;&gt;""),D40-C40+1,"")</f>
        <v/>
      </c>
      <c r="K40" s="10">
        <f>IF(AND(J40&lt;&gt;"",F40&lt;&gt;""),F40/J40,"")</f>
        <v/>
      </c>
      <c r="L40" s="11">
        <f>IF(AND(E40&gt;0,F40&lt;&gt;""),F40/E40,"")</f>
        <v/>
      </c>
      <c r="M40" s="6" t="n"/>
    </row>
    <row r="41">
      <c r="A41" s="6" t="n"/>
      <c r="B41" s="6" t="n"/>
      <c r="C41" s="7" t="n"/>
      <c r="D41" s="7" t="n"/>
      <c r="E41" s="6" t="n"/>
      <c r="F41" s="8" t="n"/>
      <c r="G41" s="8" t="n"/>
      <c r="H41" s="8" t="n"/>
      <c r="I41" s="6" t="n"/>
      <c r="J41" s="9">
        <f>IF(AND(C41&lt;&gt;"",D41&lt;&gt;""),D41-C41+1,"")</f>
        <v/>
      </c>
      <c r="K41" s="10">
        <f>IF(AND(J41&lt;&gt;"",F41&lt;&gt;""),F41/J41,"")</f>
        <v/>
      </c>
      <c r="L41" s="11">
        <f>IF(AND(E41&gt;0,F41&lt;&gt;""),F41/E41,"")</f>
        <v/>
      </c>
      <c r="M41" s="6" t="n"/>
    </row>
    <row r="42">
      <c r="A42" s="6" t="n"/>
      <c r="B42" s="6" t="n"/>
      <c r="C42" s="7" t="n"/>
      <c r="D42" s="7" t="n"/>
      <c r="E42" s="6" t="n"/>
      <c r="F42" s="8" t="n"/>
      <c r="G42" s="8" t="n"/>
      <c r="H42" s="8" t="n"/>
      <c r="I42" s="6" t="n"/>
      <c r="J42" s="9">
        <f>IF(AND(C42&lt;&gt;"",D42&lt;&gt;""),D42-C42+1,"")</f>
        <v/>
      </c>
      <c r="K42" s="10">
        <f>IF(AND(J42&lt;&gt;"",F42&lt;&gt;""),F42/J42,"")</f>
        <v/>
      </c>
      <c r="L42" s="11">
        <f>IF(AND(E42&gt;0,F42&lt;&gt;""),F42/E42,"")</f>
        <v/>
      </c>
      <c r="M42" s="6" t="n"/>
    </row>
    <row r="43">
      <c r="A43" s="6" t="n"/>
      <c r="B43" s="6" t="n"/>
      <c r="C43" s="7" t="n"/>
      <c r="D43" s="7" t="n"/>
      <c r="E43" s="6" t="n"/>
      <c r="F43" s="8" t="n"/>
      <c r="G43" s="8" t="n"/>
      <c r="H43" s="8" t="n"/>
      <c r="I43" s="6" t="n"/>
      <c r="J43" s="9">
        <f>IF(AND(C43&lt;&gt;"",D43&lt;&gt;""),D43-C43+1,"")</f>
        <v/>
      </c>
      <c r="K43" s="10">
        <f>IF(AND(J43&lt;&gt;"",F43&lt;&gt;""),F43/J43,"")</f>
        <v/>
      </c>
      <c r="L43" s="11">
        <f>IF(AND(E43&gt;0,F43&lt;&gt;""),F43/E43,"")</f>
        <v/>
      </c>
      <c r="M43" s="6" t="n"/>
    </row>
    <row r="44">
      <c r="A44" s="6" t="n"/>
      <c r="B44" s="6" t="n"/>
      <c r="C44" s="7" t="n"/>
      <c r="D44" s="7" t="n"/>
      <c r="E44" s="6" t="n"/>
      <c r="F44" s="8" t="n"/>
      <c r="G44" s="8" t="n"/>
      <c r="H44" s="8" t="n"/>
      <c r="I44" s="6" t="n"/>
      <c r="J44" s="9">
        <f>IF(AND(C44&lt;&gt;"",D44&lt;&gt;""),D44-C44+1,"")</f>
        <v/>
      </c>
      <c r="K44" s="10">
        <f>IF(AND(J44&lt;&gt;"",F44&lt;&gt;""),F44/J44,"")</f>
        <v/>
      </c>
      <c r="L44" s="11">
        <f>IF(AND(E44&gt;0,F44&lt;&gt;""),F44/E44,"")</f>
        <v/>
      </c>
      <c r="M44" s="6" t="n"/>
    </row>
    <row r="45">
      <c r="A45" s="6" t="n"/>
      <c r="B45" s="6" t="n"/>
      <c r="C45" s="7" t="n"/>
      <c r="D45" s="7" t="n"/>
      <c r="E45" s="6" t="n"/>
      <c r="F45" s="8" t="n"/>
      <c r="G45" s="8" t="n"/>
      <c r="H45" s="8" t="n"/>
      <c r="I45" s="6" t="n"/>
      <c r="J45" s="9">
        <f>IF(AND(C45&lt;&gt;"",D45&lt;&gt;""),D45-C45+1,"")</f>
        <v/>
      </c>
      <c r="K45" s="10">
        <f>IF(AND(J45&lt;&gt;"",F45&lt;&gt;""),F45/J45,"")</f>
        <v/>
      </c>
      <c r="L45" s="11">
        <f>IF(AND(E45&gt;0,F45&lt;&gt;""),F45/E45,"")</f>
        <v/>
      </c>
      <c r="M45" s="6" t="n"/>
    </row>
    <row r="46">
      <c r="A46" s="6" t="n"/>
      <c r="B46" s="6" t="n"/>
      <c r="C46" s="7" t="n"/>
      <c r="D46" s="7" t="n"/>
      <c r="E46" s="6" t="n"/>
      <c r="F46" s="8" t="n"/>
      <c r="G46" s="8" t="n"/>
      <c r="H46" s="8" t="n"/>
      <c r="I46" s="6" t="n"/>
      <c r="J46" s="9">
        <f>IF(AND(C46&lt;&gt;"",D46&lt;&gt;""),D46-C46+1,"")</f>
        <v/>
      </c>
      <c r="K46" s="10">
        <f>IF(AND(J46&lt;&gt;"",F46&lt;&gt;""),F46/J46,"")</f>
        <v/>
      </c>
      <c r="L46" s="11">
        <f>IF(AND(E46&gt;0,F46&lt;&gt;""),F46/E46,"")</f>
        <v/>
      </c>
      <c r="M46" s="6" t="n"/>
    </row>
    <row r="47">
      <c r="A47" s="6" t="n"/>
      <c r="B47" s="6" t="n"/>
      <c r="C47" s="7" t="n"/>
      <c r="D47" s="7" t="n"/>
      <c r="E47" s="6" t="n"/>
      <c r="F47" s="8" t="n"/>
      <c r="G47" s="8" t="n"/>
      <c r="H47" s="8" t="n"/>
      <c r="I47" s="6" t="n"/>
      <c r="J47" s="9">
        <f>IF(AND(C47&lt;&gt;"",D47&lt;&gt;""),D47-C47+1,"")</f>
        <v/>
      </c>
      <c r="K47" s="10">
        <f>IF(AND(J47&lt;&gt;"",F47&lt;&gt;""),F47/J47,"")</f>
        <v/>
      </c>
      <c r="L47" s="11">
        <f>IF(AND(E47&gt;0,F47&lt;&gt;""),F47/E47,"")</f>
        <v/>
      </c>
      <c r="M47" s="6" t="n"/>
    </row>
    <row r="48">
      <c r="A48" s="6" t="n"/>
      <c r="B48" s="6" t="n"/>
      <c r="C48" s="7" t="n"/>
      <c r="D48" s="7" t="n"/>
      <c r="E48" s="6" t="n"/>
      <c r="F48" s="8" t="n"/>
      <c r="G48" s="8" t="n"/>
      <c r="H48" s="8" t="n"/>
      <c r="I48" s="6" t="n"/>
      <c r="J48" s="9">
        <f>IF(AND(C48&lt;&gt;"",D48&lt;&gt;""),D48-C48+1,"")</f>
        <v/>
      </c>
      <c r="K48" s="10">
        <f>IF(AND(J48&lt;&gt;"",F48&lt;&gt;""),F48/J48,"")</f>
        <v/>
      </c>
      <c r="L48" s="11">
        <f>IF(AND(E48&gt;0,F48&lt;&gt;""),F48/E48,"")</f>
        <v/>
      </c>
      <c r="M48" s="6" t="n"/>
    </row>
    <row r="49">
      <c r="A49" s="6" t="n"/>
      <c r="B49" s="6" t="n"/>
      <c r="C49" s="7" t="n"/>
      <c r="D49" s="7" t="n"/>
      <c r="E49" s="6" t="n"/>
      <c r="F49" s="8" t="n"/>
      <c r="G49" s="8" t="n"/>
      <c r="H49" s="8" t="n"/>
      <c r="I49" s="6" t="n"/>
      <c r="J49" s="9">
        <f>IF(AND(C49&lt;&gt;"",D49&lt;&gt;""),D49-C49+1,"")</f>
        <v/>
      </c>
      <c r="K49" s="10">
        <f>IF(AND(J49&lt;&gt;"",F49&lt;&gt;""),F49/J49,"")</f>
        <v/>
      </c>
      <c r="L49" s="11">
        <f>IF(AND(E49&gt;0,F49&lt;&gt;""),F49/E49,"")</f>
        <v/>
      </c>
      <c r="M49" s="6" t="n"/>
    </row>
    <row r="50">
      <c r="A50" s="6" t="n"/>
      <c r="B50" s="6" t="n"/>
      <c r="C50" s="7" t="n"/>
      <c r="D50" s="7" t="n"/>
      <c r="E50" s="6" t="n"/>
      <c r="F50" s="8" t="n"/>
      <c r="G50" s="8" t="n"/>
      <c r="H50" s="8" t="n"/>
      <c r="I50" s="6" t="n"/>
      <c r="J50" s="9">
        <f>IF(AND(C50&lt;&gt;"",D50&lt;&gt;""),D50-C50+1,"")</f>
        <v/>
      </c>
      <c r="K50" s="10">
        <f>IF(AND(J50&lt;&gt;"",F50&lt;&gt;""),F50/J50,"")</f>
        <v/>
      </c>
      <c r="L50" s="11">
        <f>IF(AND(E50&gt;0,F50&lt;&gt;""),F50/E50,"")</f>
        <v/>
      </c>
      <c r="M50" s="6" t="n"/>
    </row>
    <row r="51">
      <c r="A51" s="6" t="n"/>
      <c r="B51" s="6" t="n"/>
      <c r="C51" s="7" t="n"/>
      <c r="D51" s="7" t="n"/>
      <c r="E51" s="6" t="n"/>
      <c r="F51" s="8" t="n"/>
      <c r="G51" s="8" t="n"/>
      <c r="H51" s="8" t="n"/>
      <c r="I51" s="6" t="n"/>
      <c r="J51" s="9">
        <f>IF(AND(C51&lt;&gt;"",D51&lt;&gt;""),D51-C51+1,"")</f>
        <v/>
      </c>
      <c r="K51" s="10">
        <f>IF(AND(J51&lt;&gt;"",F51&lt;&gt;""),F51/J51,"")</f>
        <v/>
      </c>
      <c r="L51" s="11">
        <f>IF(AND(E51&gt;0,F51&lt;&gt;""),F51/E51,"")</f>
        <v/>
      </c>
      <c r="M51" s="6" t="n"/>
    </row>
    <row r="52">
      <c r="A52" s="6" t="n"/>
      <c r="B52" s="6" t="n"/>
      <c r="C52" s="7" t="n"/>
      <c r="D52" s="7" t="n"/>
      <c r="E52" s="6" t="n"/>
      <c r="F52" s="8" t="n"/>
      <c r="G52" s="8" t="n"/>
      <c r="H52" s="8" t="n"/>
      <c r="I52" s="6" t="n"/>
      <c r="J52" s="9">
        <f>IF(AND(C52&lt;&gt;"",D52&lt;&gt;""),D52-C52+1,"")</f>
        <v/>
      </c>
      <c r="K52" s="10">
        <f>IF(AND(J52&lt;&gt;"",F52&lt;&gt;""),F52/J52,"")</f>
        <v/>
      </c>
      <c r="L52" s="11">
        <f>IF(AND(E52&gt;0,F52&lt;&gt;""),F52/E52,"")</f>
        <v/>
      </c>
      <c r="M52" s="6" t="n"/>
    </row>
    <row r="53">
      <c r="A53" s="6" t="n"/>
      <c r="B53" s="6" t="n"/>
      <c r="C53" s="7" t="n"/>
      <c r="D53" s="7" t="n"/>
      <c r="E53" s="6" t="n"/>
      <c r="F53" s="8" t="n"/>
      <c r="G53" s="8" t="n"/>
      <c r="H53" s="8" t="n"/>
      <c r="I53" s="6" t="n"/>
      <c r="J53" s="9">
        <f>IF(AND(C53&lt;&gt;"",D53&lt;&gt;""),D53-C53+1,"")</f>
        <v/>
      </c>
      <c r="K53" s="10">
        <f>IF(AND(J53&lt;&gt;"",F53&lt;&gt;""),F53/J53,"")</f>
        <v/>
      </c>
      <c r="L53" s="11">
        <f>IF(AND(E53&gt;0,F53&lt;&gt;""),F53/E53,"")</f>
        <v/>
      </c>
      <c r="M53" s="6" t="n"/>
    </row>
    <row r="54">
      <c r="A54" s="6" t="n"/>
      <c r="B54" s="6" t="n"/>
      <c r="C54" s="7" t="n"/>
      <c r="D54" s="7" t="n"/>
      <c r="E54" s="6" t="n"/>
      <c r="F54" s="8" t="n"/>
      <c r="G54" s="8" t="n"/>
      <c r="H54" s="8" t="n"/>
      <c r="I54" s="6" t="n"/>
      <c r="J54" s="9">
        <f>IF(AND(C54&lt;&gt;"",D54&lt;&gt;""),D54-C54+1,"")</f>
        <v/>
      </c>
      <c r="K54" s="10">
        <f>IF(AND(J54&lt;&gt;"",F54&lt;&gt;""),F54/J54,"")</f>
        <v/>
      </c>
      <c r="L54" s="11">
        <f>IF(AND(E54&gt;0,F54&lt;&gt;""),F54/E54,"")</f>
        <v/>
      </c>
      <c r="M54" s="6" t="n"/>
    </row>
    <row r="55">
      <c r="A55" s="6" t="n"/>
      <c r="B55" s="6" t="n"/>
      <c r="C55" s="7" t="n"/>
      <c r="D55" s="7" t="n"/>
      <c r="E55" s="6" t="n"/>
      <c r="F55" s="8" t="n"/>
      <c r="G55" s="8" t="n"/>
      <c r="H55" s="8" t="n"/>
      <c r="I55" s="6" t="n"/>
      <c r="J55" s="9">
        <f>IF(AND(C55&lt;&gt;"",D55&lt;&gt;""),D55-C55+1,"")</f>
        <v/>
      </c>
      <c r="K55" s="10">
        <f>IF(AND(J55&lt;&gt;"",F55&lt;&gt;""),F55/J55,"")</f>
        <v/>
      </c>
      <c r="L55" s="11">
        <f>IF(AND(E55&gt;0,F55&lt;&gt;""),F55/E55,"")</f>
        <v/>
      </c>
      <c r="M55" s="6" t="n"/>
    </row>
    <row r="56">
      <c r="A56" s="6" t="n"/>
      <c r="B56" s="6" t="n"/>
      <c r="C56" s="7" t="n"/>
      <c r="D56" s="7" t="n"/>
      <c r="E56" s="6" t="n"/>
      <c r="F56" s="8" t="n"/>
      <c r="G56" s="8" t="n"/>
      <c r="H56" s="8" t="n"/>
      <c r="I56" s="6" t="n"/>
      <c r="J56" s="9">
        <f>IF(AND(C56&lt;&gt;"",D56&lt;&gt;""),D56-C56+1,"")</f>
        <v/>
      </c>
      <c r="K56" s="10">
        <f>IF(AND(J56&lt;&gt;"",F56&lt;&gt;""),F56/J56,"")</f>
        <v/>
      </c>
      <c r="L56" s="11">
        <f>IF(AND(E56&gt;0,F56&lt;&gt;""),F56/E56,"")</f>
        <v/>
      </c>
      <c r="M56" s="6" t="n"/>
    </row>
    <row r="57">
      <c r="A57" s="6" t="n"/>
      <c r="B57" s="6" t="n"/>
      <c r="C57" s="7" t="n"/>
      <c r="D57" s="7" t="n"/>
      <c r="E57" s="6" t="n"/>
      <c r="F57" s="8" t="n"/>
      <c r="G57" s="8" t="n"/>
      <c r="H57" s="8" t="n"/>
      <c r="I57" s="6" t="n"/>
      <c r="J57" s="9">
        <f>IF(AND(C57&lt;&gt;"",D57&lt;&gt;""),D57-C57+1,"")</f>
        <v/>
      </c>
      <c r="K57" s="10">
        <f>IF(AND(J57&lt;&gt;"",F57&lt;&gt;""),F57/J57,"")</f>
        <v/>
      </c>
      <c r="L57" s="11">
        <f>IF(AND(E57&gt;0,F57&lt;&gt;""),F57/E57,"")</f>
        <v/>
      </c>
      <c r="M57" s="6" t="n"/>
    </row>
    <row r="58">
      <c r="A58" s="6" t="n"/>
      <c r="B58" s="6" t="n"/>
      <c r="C58" s="7" t="n"/>
      <c r="D58" s="7" t="n"/>
      <c r="E58" s="6" t="n"/>
      <c r="F58" s="8" t="n"/>
      <c r="G58" s="8" t="n"/>
      <c r="H58" s="8" t="n"/>
      <c r="I58" s="6" t="n"/>
      <c r="J58" s="9">
        <f>IF(AND(C58&lt;&gt;"",D58&lt;&gt;""),D58-C58+1,"")</f>
        <v/>
      </c>
      <c r="K58" s="10">
        <f>IF(AND(J58&lt;&gt;"",F58&lt;&gt;""),F58/J58,"")</f>
        <v/>
      </c>
      <c r="L58" s="11">
        <f>IF(AND(E58&gt;0,F58&lt;&gt;""),F58/E58,"")</f>
        <v/>
      </c>
      <c r="M58" s="6" t="n"/>
    </row>
    <row r="59">
      <c r="A59" s="6" t="n"/>
      <c r="B59" s="6" t="n"/>
      <c r="C59" s="7" t="n"/>
      <c r="D59" s="7" t="n"/>
      <c r="E59" s="6" t="n"/>
      <c r="F59" s="8" t="n"/>
      <c r="G59" s="8" t="n"/>
      <c r="H59" s="8" t="n"/>
      <c r="I59" s="6" t="n"/>
      <c r="J59" s="9">
        <f>IF(AND(C59&lt;&gt;"",D59&lt;&gt;""),D59-C59+1,"")</f>
        <v/>
      </c>
      <c r="K59" s="10">
        <f>IF(AND(J59&lt;&gt;"",F59&lt;&gt;""),F59/J59,"")</f>
        <v/>
      </c>
      <c r="L59" s="11">
        <f>IF(AND(E59&gt;0,F59&lt;&gt;""),F59/E59,"")</f>
        <v/>
      </c>
      <c r="M59" s="6" t="n"/>
    </row>
    <row r="60">
      <c r="A60" s="6" t="n"/>
      <c r="B60" s="6" t="n"/>
      <c r="C60" s="7" t="n"/>
      <c r="D60" s="7" t="n"/>
      <c r="E60" s="6" t="n"/>
      <c r="F60" s="8" t="n"/>
      <c r="G60" s="8" t="n"/>
      <c r="H60" s="8" t="n"/>
      <c r="I60" s="6" t="n"/>
      <c r="J60" s="9">
        <f>IF(AND(C60&lt;&gt;"",D60&lt;&gt;""),D60-C60+1,"")</f>
        <v/>
      </c>
      <c r="K60" s="10">
        <f>IF(AND(J60&lt;&gt;"",F60&lt;&gt;""),F60/J60,"")</f>
        <v/>
      </c>
      <c r="L60" s="11">
        <f>IF(AND(E60&gt;0,F60&lt;&gt;""),F60/E60,"")</f>
        <v/>
      </c>
      <c r="M60" s="6" t="n"/>
    </row>
    <row r="61">
      <c r="A61" s="6" t="n"/>
      <c r="B61" s="6" t="n"/>
      <c r="C61" s="7" t="n"/>
      <c r="D61" s="7" t="n"/>
      <c r="E61" s="6" t="n"/>
      <c r="F61" s="8" t="n"/>
      <c r="G61" s="8" t="n"/>
      <c r="H61" s="8" t="n"/>
      <c r="I61" s="6" t="n"/>
      <c r="J61" s="9">
        <f>IF(AND(C61&lt;&gt;"",D61&lt;&gt;""),D61-C61+1,"")</f>
        <v/>
      </c>
      <c r="K61" s="10">
        <f>IF(AND(J61&lt;&gt;"",F61&lt;&gt;""),F61/J61,"")</f>
        <v/>
      </c>
      <c r="L61" s="11">
        <f>IF(AND(E61&gt;0,F61&lt;&gt;""),F61/E61,"")</f>
        <v/>
      </c>
      <c r="M61" s="6" t="n"/>
    </row>
    <row r="62">
      <c r="A62" s="6" t="n"/>
      <c r="B62" s="6" t="n"/>
      <c r="C62" s="7" t="n"/>
      <c r="D62" s="7" t="n"/>
      <c r="E62" s="6" t="n"/>
      <c r="F62" s="8" t="n"/>
      <c r="G62" s="8" t="n"/>
      <c r="H62" s="8" t="n"/>
      <c r="I62" s="6" t="n"/>
      <c r="J62" s="9">
        <f>IF(AND(C62&lt;&gt;"",D62&lt;&gt;""),D62-C62+1,"")</f>
        <v/>
      </c>
      <c r="K62" s="10">
        <f>IF(AND(J62&lt;&gt;"",F62&lt;&gt;""),F62/J62,"")</f>
        <v/>
      </c>
      <c r="L62" s="11">
        <f>IF(AND(E62&gt;0,F62&lt;&gt;""),F62/E62,"")</f>
        <v/>
      </c>
      <c r="M62" s="6" t="n"/>
    </row>
    <row r="63">
      <c r="A63" s="6" t="n"/>
      <c r="B63" s="6" t="n"/>
      <c r="C63" s="7" t="n"/>
      <c r="D63" s="7" t="n"/>
      <c r="E63" s="6" t="n"/>
      <c r="F63" s="8" t="n"/>
      <c r="G63" s="8" t="n"/>
      <c r="H63" s="8" t="n"/>
      <c r="I63" s="6" t="n"/>
      <c r="J63" s="9">
        <f>IF(AND(C63&lt;&gt;"",D63&lt;&gt;""),D63-C63+1,"")</f>
        <v/>
      </c>
      <c r="K63" s="10">
        <f>IF(AND(J63&lt;&gt;"",F63&lt;&gt;""),F63/J63,"")</f>
        <v/>
      </c>
      <c r="L63" s="11">
        <f>IF(AND(E63&gt;0,F63&lt;&gt;""),F63/E63,"")</f>
        <v/>
      </c>
      <c r="M63" s="6" t="n"/>
    </row>
    <row r="64">
      <c r="A64" s="6" t="n"/>
      <c r="B64" s="6" t="n"/>
      <c r="C64" s="7" t="n"/>
      <c r="D64" s="7" t="n"/>
      <c r="E64" s="6" t="n"/>
      <c r="F64" s="8" t="n"/>
      <c r="G64" s="8" t="n"/>
      <c r="H64" s="8" t="n"/>
      <c r="I64" s="6" t="n"/>
      <c r="J64" s="9">
        <f>IF(AND(C64&lt;&gt;"",D64&lt;&gt;""),D64-C64+1,"")</f>
        <v/>
      </c>
      <c r="K64" s="10">
        <f>IF(AND(J64&lt;&gt;"",F64&lt;&gt;""),F64/J64,"")</f>
        <v/>
      </c>
      <c r="L64" s="11">
        <f>IF(AND(E64&gt;0,F64&lt;&gt;""),F64/E64,"")</f>
        <v/>
      </c>
      <c r="M64" s="6" t="n"/>
    </row>
    <row r="65">
      <c r="A65" s="6" t="n"/>
      <c r="B65" s="6" t="n"/>
      <c r="C65" s="7" t="n"/>
      <c r="D65" s="7" t="n"/>
      <c r="E65" s="6" t="n"/>
      <c r="F65" s="8" t="n"/>
      <c r="G65" s="8" t="n"/>
      <c r="H65" s="8" t="n"/>
      <c r="I65" s="6" t="n"/>
      <c r="J65" s="9">
        <f>IF(AND(C65&lt;&gt;"",D65&lt;&gt;""),D65-C65+1,"")</f>
        <v/>
      </c>
      <c r="K65" s="10">
        <f>IF(AND(J65&lt;&gt;"",F65&lt;&gt;""),F65/J65,"")</f>
        <v/>
      </c>
      <c r="L65" s="11">
        <f>IF(AND(E65&gt;0,F65&lt;&gt;""),F65/E65,"")</f>
        <v/>
      </c>
      <c r="M65" s="6" t="n"/>
    </row>
    <row r="66">
      <c r="A66" s="6" t="n"/>
      <c r="B66" s="6" t="n"/>
      <c r="C66" s="7" t="n"/>
      <c r="D66" s="7" t="n"/>
      <c r="E66" s="6" t="n"/>
      <c r="F66" s="8" t="n"/>
      <c r="G66" s="8" t="n"/>
      <c r="H66" s="8" t="n"/>
      <c r="I66" s="6" t="n"/>
      <c r="J66" s="9">
        <f>IF(AND(C66&lt;&gt;"",D66&lt;&gt;""),D66-C66+1,"")</f>
        <v/>
      </c>
      <c r="K66" s="10">
        <f>IF(AND(J66&lt;&gt;"",F66&lt;&gt;""),F66/J66,"")</f>
        <v/>
      </c>
      <c r="L66" s="11">
        <f>IF(AND(E66&gt;0,F66&lt;&gt;""),F66/E66,"")</f>
        <v/>
      </c>
      <c r="M66" s="6" t="n"/>
    </row>
    <row r="67">
      <c r="A67" s="6" t="n"/>
      <c r="B67" s="6" t="n"/>
      <c r="C67" s="7" t="n"/>
      <c r="D67" s="7" t="n"/>
      <c r="E67" s="6" t="n"/>
      <c r="F67" s="8" t="n"/>
      <c r="G67" s="8" t="n"/>
      <c r="H67" s="8" t="n"/>
      <c r="I67" s="6" t="n"/>
      <c r="J67" s="9">
        <f>IF(AND(C67&lt;&gt;"",D67&lt;&gt;""),D67-C67+1,"")</f>
        <v/>
      </c>
      <c r="K67" s="10">
        <f>IF(AND(J67&lt;&gt;"",F67&lt;&gt;""),F67/J67,"")</f>
        <v/>
      </c>
      <c r="L67" s="11">
        <f>IF(AND(E67&gt;0,F67&lt;&gt;""),F67/E67,"")</f>
        <v/>
      </c>
      <c r="M67" s="6" t="n"/>
    </row>
    <row r="68">
      <c r="A68" s="6" t="n"/>
      <c r="B68" s="6" t="n"/>
      <c r="C68" s="7" t="n"/>
      <c r="D68" s="7" t="n"/>
      <c r="E68" s="6" t="n"/>
      <c r="F68" s="8" t="n"/>
      <c r="G68" s="8" t="n"/>
      <c r="H68" s="8" t="n"/>
      <c r="I68" s="6" t="n"/>
      <c r="J68" s="9">
        <f>IF(AND(C68&lt;&gt;"",D68&lt;&gt;""),D68-C68+1,"")</f>
        <v/>
      </c>
      <c r="K68" s="10">
        <f>IF(AND(J68&lt;&gt;"",F68&lt;&gt;""),F68/J68,"")</f>
        <v/>
      </c>
      <c r="L68" s="11">
        <f>IF(AND(E68&gt;0,F68&lt;&gt;""),F68/E68,"")</f>
        <v/>
      </c>
      <c r="M68" s="6" t="n"/>
    </row>
    <row r="69">
      <c r="A69" s="6" t="n"/>
      <c r="B69" s="6" t="n"/>
      <c r="C69" s="7" t="n"/>
      <c r="D69" s="7" t="n"/>
      <c r="E69" s="6" t="n"/>
      <c r="F69" s="8" t="n"/>
      <c r="G69" s="8" t="n"/>
      <c r="H69" s="8" t="n"/>
      <c r="I69" s="6" t="n"/>
      <c r="J69" s="9">
        <f>IF(AND(C69&lt;&gt;"",D69&lt;&gt;""),D69-C69+1,"")</f>
        <v/>
      </c>
      <c r="K69" s="10">
        <f>IF(AND(J69&lt;&gt;"",F69&lt;&gt;""),F69/J69,"")</f>
        <v/>
      </c>
      <c r="L69" s="11">
        <f>IF(AND(E69&gt;0,F69&lt;&gt;""),F69/E69,"")</f>
        <v/>
      </c>
      <c r="M69" s="6" t="n"/>
    </row>
    <row r="70">
      <c r="A70" s="6" t="n"/>
      <c r="B70" s="6" t="n"/>
      <c r="C70" s="7" t="n"/>
      <c r="D70" s="7" t="n"/>
      <c r="E70" s="6" t="n"/>
      <c r="F70" s="8" t="n"/>
      <c r="G70" s="8" t="n"/>
      <c r="H70" s="8" t="n"/>
      <c r="I70" s="6" t="n"/>
      <c r="J70" s="9">
        <f>IF(AND(C70&lt;&gt;"",D70&lt;&gt;""),D70-C70+1,"")</f>
        <v/>
      </c>
      <c r="K70" s="10">
        <f>IF(AND(J70&lt;&gt;"",F70&lt;&gt;""),F70/J70,"")</f>
        <v/>
      </c>
      <c r="L70" s="11">
        <f>IF(AND(E70&gt;0,F70&lt;&gt;""),F70/E70,"")</f>
        <v/>
      </c>
      <c r="M70" s="6" t="n"/>
    </row>
    <row r="71">
      <c r="A71" s="6" t="n"/>
      <c r="B71" s="6" t="n"/>
      <c r="C71" s="7" t="n"/>
      <c r="D71" s="7" t="n"/>
      <c r="E71" s="6" t="n"/>
      <c r="F71" s="8" t="n"/>
      <c r="G71" s="8" t="n"/>
      <c r="H71" s="8" t="n"/>
      <c r="I71" s="6" t="n"/>
      <c r="J71" s="9">
        <f>IF(AND(C71&lt;&gt;"",D71&lt;&gt;""),D71-C71+1,"")</f>
        <v/>
      </c>
      <c r="K71" s="10">
        <f>IF(AND(J71&lt;&gt;"",F71&lt;&gt;""),F71/J71,"")</f>
        <v/>
      </c>
      <c r="L71" s="11">
        <f>IF(AND(E71&gt;0,F71&lt;&gt;""),F71/E71,"")</f>
        <v/>
      </c>
      <c r="M71" s="6" t="n"/>
    </row>
    <row r="72">
      <c r="A72" s="6" t="n"/>
      <c r="B72" s="6" t="n"/>
      <c r="C72" s="7" t="n"/>
      <c r="D72" s="7" t="n"/>
      <c r="E72" s="6" t="n"/>
      <c r="F72" s="8" t="n"/>
      <c r="G72" s="8" t="n"/>
      <c r="H72" s="8" t="n"/>
      <c r="I72" s="6" t="n"/>
      <c r="J72" s="9">
        <f>IF(AND(C72&lt;&gt;"",D72&lt;&gt;""),D72-C72+1,"")</f>
        <v/>
      </c>
      <c r="K72" s="10">
        <f>IF(AND(J72&lt;&gt;"",F72&lt;&gt;""),F72/J72,"")</f>
        <v/>
      </c>
      <c r="L72" s="11">
        <f>IF(AND(E72&gt;0,F72&lt;&gt;""),F72/E72,"")</f>
        <v/>
      </c>
      <c r="M72" s="6" t="n"/>
    </row>
    <row r="73">
      <c r="A73" s="6" t="n"/>
      <c r="B73" s="6" t="n"/>
      <c r="C73" s="7" t="n"/>
      <c r="D73" s="7" t="n"/>
      <c r="E73" s="6" t="n"/>
      <c r="F73" s="8" t="n"/>
      <c r="G73" s="8" t="n"/>
      <c r="H73" s="8" t="n"/>
      <c r="I73" s="6" t="n"/>
      <c r="J73" s="9">
        <f>IF(AND(C73&lt;&gt;"",D73&lt;&gt;""),D73-C73+1,"")</f>
        <v/>
      </c>
      <c r="K73" s="10">
        <f>IF(AND(J73&lt;&gt;"",F73&lt;&gt;""),F73/J73,"")</f>
        <v/>
      </c>
      <c r="L73" s="11">
        <f>IF(AND(E73&gt;0,F73&lt;&gt;""),F73/E73,"")</f>
        <v/>
      </c>
      <c r="M73" s="6" t="n"/>
    </row>
    <row r="74">
      <c r="A74" s="6" t="n"/>
      <c r="B74" s="6" t="n"/>
      <c r="C74" s="7" t="n"/>
      <c r="D74" s="7" t="n"/>
      <c r="E74" s="6" t="n"/>
      <c r="F74" s="8" t="n"/>
      <c r="G74" s="8" t="n"/>
      <c r="H74" s="8" t="n"/>
      <c r="I74" s="6" t="n"/>
      <c r="J74" s="9">
        <f>IF(AND(C74&lt;&gt;"",D74&lt;&gt;""),D74-C74+1,"")</f>
        <v/>
      </c>
      <c r="K74" s="10">
        <f>IF(AND(J74&lt;&gt;"",F74&lt;&gt;""),F74/J74,"")</f>
        <v/>
      </c>
      <c r="L74" s="11">
        <f>IF(AND(E74&gt;0,F74&lt;&gt;""),F74/E74,"")</f>
        <v/>
      </c>
      <c r="M74" s="6" t="n"/>
    </row>
    <row r="75">
      <c r="A75" s="6" t="n"/>
      <c r="B75" s="6" t="n"/>
      <c r="C75" s="7" t="n"/>
      <c r="D75" s="7" t="n"/>
      <c r="E75" s="6" t="n"/>
      <c r="F75" s="8" t="n"/>
      <c r="G75" s="8" t="n"/>
      <c r="H75" s="8" t="n"/>
      <c r="I75" s="6" t="n"/>
      <c r="J75" s="9">
        <f>IF(AND(C75&lt;&gt;"",D75&lt;&gt;""),D75-C75+1,"")</f>
        <v/>
      </c>
      <c r="K75" s="10">
        <f>IF(AND(J75&lt;&gt;"",F75&lt;&gt;""),F75/J75,"")</f>
        <v/>
      </c>
      <c r="L75" s="11">
        <f>IF(AND(E75&gt;0,F75&lt;&gt;""),F75/E75,"")</f>
        <v/>
      </c>
      <c r="M75" s="6" t="n"/>
    </row>
    <row r="76">
      <c r="A76" s="6" t="n"/>
      <c r="B76" s="6" t="n"/>
      <c r="C76" s="7" t="n"/>
      <c r="D76" s="7" t="n"/>
      <c r="E76" s="6" t="n"/>
      <c r="F76" s="8" t="n"/>
      <c r="G76" s="8" t="n"/>
      <c r="H76" s="8" t="n"/>
      <c r="I76" s="6" t="n"/>
      <c r="J76" s="9">
        <f>IF(AND(C76&lt;&gt;"",D76&lt;&gt;""),D76-C76+1,"")</f>
        <v/>
      </c>
      <c r="K76" s="10">
        <f>IF(AND(J76&lt;&gt;"",F76&lt;&gt;""),F76/J76,"")</f>
        <v/>
      </c>
      <c r="L76" s="11">
        <f>IF(AND(E76&gt;0,F76&lt;&gt;""),F76/E76,"")</f>
        <v/>
      </c>
      <c r="M76" s="6" t="n"/>
    </row>
    <row r="77">
      <c r="A77" s="6" t="n"/>
      <c r="B77" s="6" t="n"/>
      <c r="C77" s="7" t="n"/>
      <c r="D77" s="7" t="n"/>
      <c r="E77" s="6" t="n"/>
      <c r="F77" s="8" t="n"/>
      <c r="G77" s="8" t="n"/>
      <c r="H77" s="8" t="n"/>
      <c r="I77" s="6" t="n"/>
      <c r="J77" s="9">
        <f>IF(AND(C77&lt;&gt;"",D77&lt;&gt;""),D77-C77+1,"")</f>
        <v/>
      </c>
      <c r="K77" s="10">
        <f>IF(AND(J77&lt;&gt;"",F77&lt;&gt;""),F77/J77,"")</f>
        <v/>
      </c>
      <c r="L77" s="11">
        <f>IF(AND(E77&gt;0,F77&lt;&gt;""),F77/E77,"")</f>
        <v/>
      </c>
      <c r="M77" s="6" t="n"/>
    </row>
    <row r="78">
      <c r="A78" s="6" t="n"/>
      <c r="B78" s="6" t="n"/>
      <c r="C78" s="7" t="n"/>
      <c r="D78" s="7" t="n"/>
      <c r="E78" s="6" t="n"/>
      <c r="F78" s="8" t="n"/>
      <c r="G78" s="8" t="n"/>
      <c r="H78" s="8" t="n"/>
      <c r="I78" s="6" t="n"/>
      <c r="J78" s="9">
        <f>IF(AND(C78&lt;&gt;"",D78&lt;&gt;""),D78-C78+1,"")</f>
        <v/>
      </c>
      <c r="K78" s="10">
        <f>IF(AND(J78&lt;&gt;"",F78&lt;&gt;""),F78/J78,"")</f>
        <v/>
      </c>
      <c r="L78" s="11">
        <f>IF(AND(E78&gt;0,F78&lt;&gt;""),F78/E78,"")</f>
        <v/>
      </c>
      <c r="M78" s="6" t="n"/>
    </row>
    <row r="79">
      <c r="A79" s="6" t="n"/>
      <c r="B79" s="6" t="n"/>
      <c r="C79" s="7" t="n"/>
      <c r="D79" s="7" t="n"/>
      <c r="E79" s="6" t="n"/>
      <c r="F79" s="8" t="n"/>
      <c r="G79" s="8" t="n"/>
      <c r="H79" s="8" t="n"/>
      <c r="I79" s="6" t="n"/>
      <c r="J79" s="9">
        <f>IF(AND(C79&lt;&gt;"",D79&lt;&gt;""),D79-C79+1,"")</f>
        <v/>
      </c>
      <c r="K79" s="10">
        <f>IF(AND(J79&lt;&gt;"",F79&lt;&gt;""),F79/J79,"")</f>
        <v/>
      </c>
      <c r="L79" s="11">
        <f>IF(AND(E79&gt;0,F79&lt;&gt;""),F79/E79,"")</f>
        <v/>
      </c>
      <c r="M79" s="6" t="n"/>
    </row>
    <row r="80">
      <c r="A80" s="6" t="n"/>
      <c r="B80" s="6" t="n"/>
      <c r="C80" s="7" t="n"/>
      <c r="D80" s="7" t="n"/>
      <c r="E80" s="6" t="n"/>
      <c r="F80" s="8" t="n"/>
      <c r="G80" s="8" t="n"/>
      <c r="H80" s="8" t="n"/>
      <c r="I80" s="6" t="n"/>
      <c r="J80" s="9">
        <f>IF(AND(C80&lt;&gt;"",D80&lt;&gt;""),D80-C80+1,"")</f>
        <v/>
      </c>
      <c r="K80" s="10">
        <f>IF(AND(J80&lt;&gt;"",F80&lt;&gt;""),F80/J80,"")</f>
        <v/>
      </c>
      <c r="L80" s="11">
        <f>IF(AND(E80&gt;0,F80&lt;&gt;""),F80/E80,"")</f>
        <v/>
      </c>
      <c r="M80" s="6" t="n"/>
    </row>
    <row r="81">
      <c r="A81" s="6" t="n"/>
      <c r="B81" s="6" t="n"/>
      <c r="C81" s="7" t="n"/>
      <c r="D81" s="7" t="n"/>
      <c r="E81" s="6" t="n"/>
      <c r="F81" s="8" t="n"/>
      <c r="G81" s="8" t="n"/>
      <c r="H81" s="8" t="n"/>
      <c r="I81" s="6" t="n"/>
      <c r="J81" s="9">
        <f>IF(AND(C81&lt;&gt;"",D81&lt;&gt;""),D81-C81+1,"")</f>
        <v/>
      </c>
      <c r="K81" s="10">
        <f>IF(AND(J81&lt;&gt;"",F81&lt;&gt;""),F81/J81,"")</f>
        <v/>
      </c>
      <c r="L81" s="11">
        <f>IF(AND(E81&gt;0,F81&lt;&gt;""),F81/E81,"")</f>
        <v/>
      </c>
      <c r="M81" s="6" t="n"/>
    </row>
    <row r="82">
      <c r="A82" s="6" t="n"/>
      <c r="B82" s="6" t="n"/>
      <c r="C82" s="7" t="n"/>
      <c r="D82" s="7" t="n"/>
      <c r="E82" s="6" t="n"/>
      <c r="F82" s="8" t="n"/>
      <c r="G82" s="8" t="n"/>
      <c r="H82" s="8" t="n"/>
      <c r="I82" s="6" t="n"/>
      <c r="J82" s="9">
        <f>IF(AND(C82&lt;&gt;"",D82&lt;&gt;""),D82-C82+1,"")</f>
        <v/>
      </c>
      <c r="K82" s="10">
        <f>IF(AND(J82&lt;&gt;"",F82&lt;&gt;""),F82/J82,"")</f>
        <v/>
      </c>
      <c r="L82" s="11">
        <f>IF(AND(E82&gt;0,F82&lt;&gt;""),F82/E82,"")</f>
        <v/>
      </c>
      <c r="M82" s="6" t="n"/>
    </row>
    <row r="83">
      <c r="A83" s="6" t="n"/>
      <c r="B83" s="6" t="n"/>
      <c r="C83" s="7" t="n"/>
      <c r="D83" s="7" t="n"/>
      <c r="E83" s="6" t="n"/>
      <c r="F83" s="8" t="n"/>
      <c r="G83" s="8" t="n"/>
      <c r="H83" s="8" t="n"/>
      <c r="I83" s="6" t="n"/>
      <c r="J83" s="9">
        <f>IF(AND(C83&lt;&gt;"",D83&lt;&gt;""),D83-C83+1,"")</f>
        <v/>
      </c>
      <c r="K83" s="10">
        <f>IF(AND(J83&lt;&gt;"",F83&lt;&gt;""),F83/J83,"")</f>
        <v/>
      </c>
      <c r="L83" s="11">
        <f>IF(AND(E83&gt;0,F83&lt;&gt;""),F83/E83,"")</f>
        <v/>
      </c>
      <c r="M83" s="6" t="n"/>
    </row>
    <row r="84">
      <c r="A84" s="6" t="n"/>
      <c r="B84" s="6" t="n"/>
      <c r="C84" s="7" t="n"/>
      <c r="D84" s="7" t="n"/>
      <c r="E84" s="6" t="n"/>
      <c r="F84" s="8" t="n"/>
      <c r="G84" s="8" t="n"/>
      <c r="H84" s="8" t="n"/>
      <c r="I84" s="6" t="n"/>
      <c r="J84" s="9">
        <f>IF(AND(C84&lt;&gt;"",D84&lt;&gt;""),D84-C84+1,"")</f>
        <v/>
      </c>
      <c r="K84" s="10">
        <f>IF(AND(J84&lt;&gt;"",F84&lt;&gt;""),F84/J84,"")</f>
        <v/>
      </c>
      <c r="L84" s="11">
        <f>IF(AND(E84&gt;0,F84&lt;&gt;""),F84/E84,"")</f>
        <v/>
      </c>
      <c r="M84" s="6" t="n"/>
    </row>
    <row r="85">
      <c r="A85" s="6" t="n"/>
      <c r="B85" s="6" t="n"/>
      <c r="C85" s="7" t="n"/>
      <c r="D85" s="7" t="n"/>
      <c r="E85" s="6" t="n"/>
      <c r="F85" s="8" t="n"/>
      <c r="G85" s="8" t="n"/>
      <c r="H85" s="8" t="n"/>
      <c r="I85" s="6" t="n"/>
      <c r="J85" s="9">
        <f>IF(AND(C85&lt;&gt;"",D85&lt;&gt;""),D85-C85+1,"")</f>
        <v/>
      </c>
      <c r="K85" s="10">
        <f>IF(AND(J85&lt;&gt;"",F85&lt;&gt;""),F85/J85,"")</f>
        <v/>
      </c>
      <c r="L85" s="11">
        <f>IF(AND(E85&gt;0,F85&lt;&gt;""),F85/E85,"")</f>
        <v/>
      </c>
      <c r="M85" s="6" t="n"/>
    </row>
    <row r="86">
      <c r="A86" s="6" t="n"/>
      <c r="B86" s="6" t="n"/>
      <c r="C86" s="7" t="n"/>
      <c r="D86" s="7" t="n"/>
      <c r="E86" s="6" t="n"/>
      <c r="F86" s="8" t="n"/>
      <c r="G86" s="8" t="n"/>
      <c r="H86" s="8" t="n"/>
      <c r="I86" s="6" t="n"/>
      <c r="J86" s="9">
        <f>IF(AND(C86&lt;&gt;"",D86&lt;&gt;""),D86-C86+1,"")</f>
        <v/>
      </c>
      <c r="K86" s="10">
        <f>IF(AND(J86&lt;&gt;"",F86&lt;&gt;""),F86/J86,"")</f>
        <v/>
      </c>
      <c r="L86" s="11">
        <f>IF(AND(E86&gt;0,F86&lt;&gt;""),F86/E86,"")</f>
        <v/>
      </c>
      <c r="M86" s="6" t="n"/>
    </row>
    <row r="87">
      <c r="A87" s="6" t="n"/>
      <c r="B87" s="6" t="n"/>
      <c r="C87" s="7" t="n"/>
      <c r="D87" s="7" t="n"/>
      <c r="E87" s="6" t="n"/>
      <c r="F87" s="8" t="n"/>
      <c r="G87" s="8" t="n"/>
      <c r="H87" s="8" t="n"/>
      <c r="I87" s="6" t="n"/>
      <c r="J87" s="9">
        <f>IF(AND(C87&lt;&gt;"",D87&lt;&gt;""),D87-C87+1,"")</f>
        <v/>
      </c>
      <c r="K87" s="10">
        <f>IF(AND(J87&lt;&gt;"",F87&lt;&gt;""),F87/J87,"")</f>
        <v/>
      </c>
      <c r="L87" s="11">
        <f>IF(AND(E87&gt;0,F87&lt;&gt;""),F87/E87,"")</f>
        <v/>
      </c>
      <c r="M87" s="6" t="n"/>
    </row>
    <row r="88">
      <c r="A88" s="6" t="n"/>
      <c r="B88" s="6" t="n"/>
      <c r="C88" s="7" t="n"/>
      <c r="D88" s="7" t="n"/>
      <c r="E88" s="6" t="n"/>
      <c r="F88" s="8" t="n"/>
      <c r="G88" s="8" t="n"/>
      <c r="H88" s="8" t="n"/>
      <c r="I88" s="6" t="n"/>
      <c r="J88" s="9">
        <f>IF(AND(C88&lt;&gt;"",D88&lt;&gt;""),D88-C88+1,"")</f>
        <v/>
      </c>
      <c r="K88" s="10">
        <f>IF(AND(J88&lt;&gt;"",F88&lt;&gt;""),F88/J88,"")</f>
        <v/>
      </c>
      <c r="L88" s="11">
        <f>IF(AND(E88&gt;0,F88&lt;&gt;""),F88/E88,"")</f>
        <v/>
      </c>
      <c r="M88" s="6" t="n"/>
    </row>
    <row r="89">
      <c r="A89" s="6" t="n"/>
      <c r="B89" s="6" t="n"/>
      <c r="C89" s="7" t="n"/>
      <c r="D89" s="7" t="n"/>
      <c r="E89" s="6" t="n"/>
      <c r="F89" s="8" t="n"/>
      <c r="G89" s="8" t="n"/>
      <c r="H89" s="8" t="n"/>
      <c r="I89" s="6" t="n"/>
      <c r="J89" s="9">
        <f>IF(AND(C89&lt;&gt;"",D89&lt;&gt;""),D89-C89+1,"")</f>
        <v/>
      </c>
      <c r="K89" s="10">
        <f>IF(AND(J89&lt;&gt;"",F89&lt;&gt;""),F89/J89,"")</f>
        <v/>
      </c>
      <c r="L89" s="11">
        <f>IF(AND(E89&gt;0,F89&lt;&gt;""),F89/E89,"")</f>
        <v/>
      </c>
      <c r="M89" s="6" t="n"/>
    </row>
    <row r="90">
      <c r="A90" s="6" t="n"/>
      <c r="B90" s="6" t="n"/>
      <c r="C90" s="7" t="n"/>
      <c r="D90" s="7" t="n"/>
      <c r="E90" s="6" t="n"/>
      <c r="F90" s="8" t="n"/>
      <c r="G90" s="8" t="n"/>
      <c r="H90" s="8" t="n"/>
      <c r="I90" s="6" t="n"/>
      <c r="J90" s="9">
        <f>IF(AND(C90&lt;&gt;"",D90&lt;&gt;""),D90-C90+1,"")</f>
        <v/>
      </c>
      <c r="K90" s="10">
        <f>IF(AND(J90&lt;&gt;"",F90&lt;&gt;""),F90/J90,"")</f>
        <v/>
      </c>
      <c r="L90" s="11">
        <f>IF(AND(E90&gt;0,F90&lt;&gt;""),F90/E90,"")</f>
        <v/>
      </c>
      <c r="M90" s="6" t="n"/>
    </row>
    <row r="91">
      <c r="A91" s="6" t="n"/>
      <c r="B91" s="6" t="n"/>
      <c r="C91" s="7" t="n"/>
      <c r="D91" s="7" t="n"/>
      <c r="E91" s="6" t="n"/>
      <c r="F91" s="8" t="n"/>
      <c r="G91" s="8" t="n"/>
      <c r="H91" s="8" t="n"/>
      <c r="I91" s="6" t="n"/>
      <c r="J91" s="9">
        <f>IF(AND(C91&lt;&gt;"",D91&lt;&gt;""),D91-C91+1,"")</f>
        <v/>
      </c>
      <c r="K91" s="10">
        <f>IF(AND(J91&lt;&gt;"",F91&lt;&gt;""),F91/J91,"")</f>
        <v/>
      </c>
      <c r="L91" s="11">
        <f>IF(AND(E91&gt;0,F91&lt;&gt;""),F91/E91,"")</f>
        <v/>
      </c>
      <c r="M91" s="6" t="n"/>
    </row>
    <row r="92">
      <c r="A92" s="6" t="n"/>
      <c r="B92" s="6" t="n"/>
      <c r="C92" s="7" t="n"/>
      <c r="D92" s="7" t="n"/>
      <c r="E92" s="6" t="n"/>
      <c r="F92" s="8" t="n"/>
      <c r="G92" s="8" t="n"/>
      <c r="H92" s="8" t="n"/>
      <c r="I92" s="6" t="n"/>
      <c r="J92" s="9">
        <f>IF(AND(C92&lt;&gt;"",D92&lt;&gt;""),D92-C92+1,"")</f>
        <v/>
      </c>
      <c r="K92" s="10">
        <f>IF(AND(J92&lt;&gt;"",F92&lt;&gt;""),F92/J92,"")</f>
        <v/>
      </c>
      <c r="L92" s="11">
        <f>IF(AND(E92&gt;0,F92&lt;&gt;""),F92/E92,"")</f>
        <v/>
      </c>
      <c r="M92" s="6" t="n"/>
    </row>
    <row r="93">
      <c r="A93" s="6" t="n"/>
      <c r="B93" s="6" t="n"/>
      <c r="C93" s="7" t="n"/>
      <c r="D93" s="7" t="n"/>
      <c r="E93" s="6" t="n"/>
      <c r="F93" s="8" t="n"/>
      <c r="G93" s="8" t="n"/>
      <c r="H93" s="8" t="n"/>
      <c r="I93" s="6" t="n"/>
      <c r="J93" s="9">
        <f>IF(AND(C93&lt;&gt;"",D93&lt;&gt;""),D93-C93+1,"")</f>
        <v/>
      </c>
      <c r="K93" s="10">
        <f>IF(AND(J93&lt;&gt;"",F93&lt;&gt;""),F93/J93,"")</f>
        <v/>
      </c>
      <c r="L93" s="11">
        <f>IF(AND(E93&gt;0,F93&lt;&gt;""),F93/E93,"")</f>
        <v/>
      </c>
      <c r="M93" s="6" t="n"/>
    </row>
    <row r="94">
      <c r="A94" s="6" t="n"/>
      <c r="B94" s="6" t="n"/>
      <c r="C94" s="7" t="n"/>
      <c r="D94" s="7" t="n"/>
      <c r="E94" s="6" t="n"/>
      <c r="F94" s="8" t="n"/>
      <c r="G94" s="8" t="n"/>
      <c r="H94" s="8" t="n"/>
      <c r="I94" s="6" t="n"/>
      <c r="J94" s="9">
        <f>IF(AND(C94&lt;&gt;"",D94&lt;&gt;""),D94-C94+1,"")</f>
        <v/>
      </c>
      <c r="K94" s="10">
        <f>IF(AND(J94&lt;&gt;"",F94&lt;&gt;""),F94/J94,"")</f>
        <v/>
      </c>
      <c r="L94" s="11">
        <f>IF(AND(E94&gt;0,F94&lt;&gt;""),F94/E94,"")</f>
        <v/>
      </c>
      <c r="M94" s="6" t="n"/>
    </row>
    <row r="95">
      <c r="A95" s="6" t="n"/>
      <c r="B95" s="6" t="n"/>
      <c r="C95" s="7" t="n"/>
      <c r="D95" s="7" t="n"/>
      <c r="E95" s="6" t="n"/>
      <c r="F95" s="8" t="n"/>
      <c r="G95" s="8" t="n"/>
      <c r="H95" s="8" t="n"/>
      <c r="I95" s="6" t="n"/>
      <c r="J95" s="9">
        <f>IF(AND(C95&lt;&gt;"",D95&lt;&gt;""),D95-C95+1,"")</f>
        <v/>
      </c>
      <c r="K95" s="10">
        <f>IF(AND(J95&lt;&gt;"",F95&lt;&gt;""),F95/J95,"")</f>
        <v/>
      </c>
      <c r="L95" s="11">
        <f>IF(AND(E95&gt;0,F95&lt;&gt;""),F95/E95,"")</f>
        <v/>
      </c>
      <c r="M95" s="6" t="n"/>
    </row>
    <row r="96">
      <c r="A96" s="6" t="n"/>
      <c r="B96" s="6" t="n"/>
      <c r="C96" s="7" t="n"/>
      <c r="D96" s="7" t="n"/>
      <c r="E96" s="6" t="n"/>
      <c r="F96" s="8" t="n"/>
      <c r="G96" s="8" t="n"/>
      <c r="H96" s="8" t="n"/>
      <c r="I96" s="6" t="n"/>
      <c r="J96" s="9">
        <f>IF(AND(C96&lt;&gt;"",D96&lt;&gt;""),D96-C96+1,"")</f>
        <v/>
      </c>
      <c r="K96" s="10">
        <f>IF(AND(J96&lt;&gt;"",F96&lt;&gt;""),F96/J96,"")</f>
        <v/>
      </c>
      <c r="L96" s="11">
        <f>IF(AND(E96&gt;0,F96&lt;&gt;""),F96/E96,"")</f>
        <v/>
      </c>
      <c r="M96" s="6" t="n"/>
    </row>
    <row r="97">
      <c r="A97" s="6" t="n"/>
      <c r="B97" s="6" t="n"/>
      <c r="C97" s="7" t="n"/>
      <c r="D97" s="7" t="n"/>
      <c r="E97" s="6" t="n"/>
      <c r="F97" s="8" t="n"/>
      <c r="G97" s="8" t="n"/>
      <c r="H97" s="8" t="n"/>
      <c r="I97" s="6" t="n"/>
      <c r="J97" s="9">
        <f>IF(AND(C97&lt;&gt;"",D97&lt;&gt;""),D97-C97+1,"")</f>
        <v/>
      </c>
      <c r="K97" s="10">
        <f>IF(AND(J97&lt;&gt;"",F97&lt;&gt;""),F97/J97,"")</f>
        <v/>
      </c>
      <c r="L97" s="11">
        <f>IF(AND(E97&gt;0,F97&lt;&gt;""),F97/E97,"")</f>
        <v/>
      </c>
      <c r="M97" s="6" t="n"/>
    </row>
    <row r="98">
      <c r="A98" s="6" t="n"/>
      <c r="B98" s="6" t="n"/>
      <c r="C98" s="7" t="n"/>
      <c r="D98" s="7" t="n"/>
      <c r="E98" s="6" t="n"/>
      <c r="F98" s="8" t="n"/>
      <c r="G98" s="8" t="n"/>
      <c r="H98" s="8" t="n"/>
      <c r="I98" s="6" t="n"/>
      <c r="J98" s="9">
        <f>IF(AND(C98&lt;&gt;"",D98&lt;&gt;""),D98-C98+1,"")</f>
        <v/>
      </c>
      <c r="K98" s="10">
        <f>IF(AND(J98&lt;&gt;"",F98&lt;&gt;""),F98/J98,"")</f>
        <v/>
      </c>
      <c r="L98" s="11">
        <f>IF(AND(E98&gt;0,F98&lt;&gt;""),F98/E98,"")</f>
        <v/>
      </c>
      <c r="M98" s="6" t="n"/>
    </row>
    <row r="99">
      <c r="A99" s="6" t="n"/>
      <c r="B99" s="6" t="n"/>
      <c r="C99" s="7" t="n"/>
      <c r="D99" s="7" t="n"/>
      <c r="E99" s="6" t="n"/>
      <c r="F99" s="8" t="n"/>
      <c r="G99" s="8" t="n"/>
      <c r="H99" s="8" t="n"/>
      <c r="I99" s="6" t="n"/>
      <c r="J99" s="9">
        <f>IF(AND(C99&lt;&gt;"",D99&lt;&gt;""),D99-C99+1,"")</f>
        <v/>
      </c>
      <c r="K99" s="10">
        <f>IF(AND(J99&lt;&gt;"",F99&lt;&gt;""),F99/J99,"")</f>
        <v/>
      </c>
      <c r="L99" s="11">
        <f>IF(AND(E99&gt;0,F99&lt;&gt;""),F99/E99,"")</f>
        <v/>
      </c>
      <c r="M99" s="6" t="n"/>
    </row>
    <row r="100">
      <c r="A100" s="6" t="n"/>
      <c r="B100" s="6" t="n"/>
      <c r="C100" s="7" t="n"/>
      <c r="D100" s="7" t="n"/>
      <c r="E100" s="6" t="n"/>
      <c r="F100" s="8" t="n"/>
      <c r="G100" s="8" t="n"/>
      <c r="H100" s="8" t="n"/>
      <c r="I100" s="6" t="n"/>
      <c r="J100" s="9">
        <f>IF(AND(C100&lt;&gt;"",D100&lt;&gt;""),D100-C100+1,"")</f>
        <v/>
      </c>
      <c r="K100" s="10">
        <f>IF(AND(J100&lt;&gt;"",F100&lt;&gt;""),F100/J100,"")</f>
        <v/>
      </c>
      <c r="L100" s="11">
        <f>IF(AND(E100&gt;0,F100&lt;&gt;""),F100/E100,"")</f>
        <v/>
      </c>
      <c r="M100" s="6" t="n"/>
    </row>
    <row r="101">
      <c r="A101" s="6" t="n"/>
      <c r="B101" s="6" t="n"/>
      <c r="C101" s="7" t="n"/>
      <c r="D101" s="7" t="n"/>
      <c r="E101" s="6" t="n"/>
      <c r="F101" s="8" t="n"/>
      <c r="G101" s="8" t="n"/>
      <c r="H101" s="8" t="n"/>
      <c r="I101" s="6" t="n"/>
      <c r="J101" s="9">
        <f>IF(AND(C101&lt;&gt;"",D101&lt;&gt;""),D101-C101+1,"")</f>
        <v/>
      </c>
      <c r="K101" s="10">
        <f>IF(AND(J101&lt;&gt;"",F101&lt;&gt;""),F101/J101,"")</f>
        <v/>
      </c>
      <c r="L101" s="11">
        <f>IF(AND(E101&gt;0,F101&lt;&gt;""),F101/E101,"")</f>
        <v/>
      </c>
      <c r="M101" s="6" t="n"/>
    </row>
    <row r="102">
      <c r="A102" s="6" t="n"/>
      <c r="B102" s="6" t="n"/>
      <c r="C102" s="7" t="n"/>
      <c r="D102" s="7" t="n"/>
      <c r="E102" s="6" t="n"/>
      <c r="F102" s="8" t="n"/>
      <c r="G102" s="8" t="n"/>
      <c r="H102" s="8" t="n"/>
      <c r="I102" s="6" t="n"/>
      <c r="J102" s="9">
        <f>IF(AND(C102&lt;&gt;"",D102&lt;&gt;""),D102-C102+1,"")</f>
        <v/>
      </c>
      <c r="K102" s="10">
        <f>IF(AND(J102&lt;&gt;"",F102&lt;&gt;""),F102/J102,"")</f>
        <v/>
      </c>
      <c r="L102" s="11">
        <f>IF(AND(E102&gt;0,F102&lt;&gt;""),F102/E102,"")</f>
        <v/>
      </c>
      <c r="M102" s="6" t="n"/>
    </row>
    <row r="103">
      <c r="A103" s="6" t="n"/>
      <c r="B103" s="6" t="n"/>
      <c r="C103" s="7" t="n"/>
      <c r="D103" s="7" t="n"/>
      <c r="E103" s="6" t="n"/>
      <c r="F103" s="8" t="n"/>
      <c r="G103" s="8" t="n"/>
      <c r="H103" s="8" t="n"/>
      <c r="I103" s="6" t="n"/>
      <c r="J103" s="9">
        <f>IF(AND(C103&lt;&gt;"",D103&lt;&gt;""),D103-C103+1,"")</f>
        <v/>
      </c>
      <c r="K103" s="10">
        <f>IF(AND(J103&lt;&gt;"",F103&lt;&gt;""),F103/J103,"")</f>
        <v/>
      </c>
      <c r="L103" s="11">
        <f>IF(AND(E103&gt;0,F103&lt;&gt;""),F103/E103,"")</f>
        <v/>
      </c>
      <c r="M103" s="6" t="n"/>
    </row>
    <row r="104">
      <c r="A104" s="6" t="n"/>
      <c r="B104" s="6" t="n"/>
      <c r="C104" s="7" t="n"/>
      <c r="D104" s="7" t="n"/>
      <c r="E104" s="6" t="n"/>
      <c r="F104" s="8" t="n"/>
      <c r="G104" s="8" t="n"/>
      <c r="H104" s="8" t="n"/>
      <c r="I104" s="6" t="n"/>
      <c r="J104" s="9">
        <f>IF(AND(C104&lt;&gt;"",D104&lt;&gt;""),D104-C104+1,"")</f>
        <v/>
      </c>
      <c r="K104" s="10">
        <f>IF(AND(J104&lt;&gt;"",F104&lt;&gt;""),F104/J104,"")</f>
        <v/>
      </c>
      <c r="L104" s="11">
        <f>IF(AND(E104&gt;0,F104&lt;&gt;""),F104/E104,"")</f>
        <v/>
      </c>
      <c r="M104" s="6" t="n"/>
    </row>
    <row r="105">
      <c r="A105" s="6" t="n"/>
      <c r="B105" s="6" t="n"/>
      <c r="C105" s="7" t="n"/>
      <c r="D105" s="7" t="n"/>
      <c r="E105" s="6" t="n"/>
      <c r="F105" s="8" t="n"/>
      <c r="G105" s="8" t="n"/>
      <c r="H105" s="8" t="n"/>
      <c r="I105" s="6" t="n"/>
      <c r="J105" s="9">
        <f>IF(AND(C105&lt;&gt;"",D105&lt;&gt;""),D105-C105+1,"")</f>
        <v/>
      </c>
      <c r="K105" s="10">
        <f>IF(AND(J105&lt;&gt;"",F105&lt;&gt;""),F105/J105,"")</f>
        <v/>
      </c>
      <c r="L105" s="11">
        <f>IF(AND(E105&gt;0,F105&lt;&gt;""),F105/E105,"")</f>
        <v/>
      </c>
      <c r="M105" s="6" t="n"/>
    </row>
    <row r="106">
      <c r="A106" s="6" t="n"/>
      <c r="B106" s="6" t="n"/>
      <c r="C106" s="7" t="n"/>
      <c r="D106" s="7" t="n"/>
      <c r="E106" s="6" t="n"/>
      <c r="F106" s="8" t="n"/>
      <c r="G106" s="8" t="n"/>
      <c r="H106" s="8" t="n"/>
      <c r="I106" s="6" t="n"/>
      <c r="J106" s="9">
        <f>IF(AND(C106&lt;&gt;"",D106&lt;&gt;""),D106-C106+1,"")</f>
        <v/>
      </c>
      <c r="K106" s="10">
        <f>IF(AND(J106&lt;&gt;"",F106&lt;&gt;""),F106/J106,"")</f>
        <v/>
      </c>
      <c r="L106" s="11">
        <f>IF(AND(E106&gt;0,F106&lt;&gt;""),F106/E106,"")</f>
        <v/>
      </c>
      <c r="M106" s="6" t="n"/>
    </row>
    <row r="107">
      <c r="A107" s="6" t="n"/>
      <c r="B107" s="6" t="n"/>
      <c r="C107" s="7" t="n"/>
      <c r="D107" s="7" t="n"/>
      <c r="E107" s="6" t="n"/>
      <c r="F107" s="8" t="n"/>
      <c r="G107" s="8" t="n"/>
      <c r="H107" s="8" t="n"/>
      <c r="I107" s="6" t="n"/>
      <c r="J107" s="9">
        <f>IF(AND(C107&lt;&gt;"",D107&lt;&gt;""),D107-C107+1,"")</f>
        <v/>
      </c>
      <c r="K107" s="10">
        <f>IF(AND(J107&lt;&gt;"",F107&lt;&gt;""),F107/J107,"")</f>
        <v/>
      </c>
      <c r="L107" s="11">
        <f>IF(AND(E107&gt;0,F107&lt;&gt;""),F107/E107,"")</f>
        <v/>
      </c>
      <c r="M107" s="6" t="n"/>
    </row>
    <row r="108">
      <c r="A108" s="6" t="n"/>
      <c r="B108" s="6" t="n"/>
      <c r="C108" s="7" t="n"/>
      <c r="D108" s="7" t="n"/>
      <c r="E108" s="6" t="n"/>
      <c r="F108" s="8" t="n"/>
      <c r="G108" s="8" t="n"/>
      <c r="H108" s="8" t="n"/>
      <c r="I108" s="6" t="n"/>
      <c r="J108" s="9">
        <f>IF(AND(C108&lt;&gt;"",D108&lt;&gt;""),D108-C108+1,"")</f>
        <v/>
      </c>
      <c r="K108" s="10">
        <f>IF(AND(J108&lt;&gt;"",F108&lt;&gt;""),F108/J108,"")</f>
        <v/>
      </c>
      <c r="L108" s="11">
        <f>IF(AND(E108&gt;0,F108&lt;&gt;""),F108/E108,"")</f>
        <v/>
      </c>
      <c r="M108" s="6" t="n"/>
    </row>
    <row r="109">
      <c r="A109" s="6" t="n"/>
      <c r="B109" s="6" t="n"/>
      <c r="C109" s="7" t="n"/>
      <c r="D109" s="7" t="n"/>
      <c r="E109" s="6" t="n"/>
      <c r="F109" s="8" t="n"/>
      <c r="G109" s="8" t="n"/>
      <c r="H109" s="8" t="n"/>
      <c r="I109" s="6" t="n"/>
      <c r="J109" s="9">
        <f>IF(AND(C109&lt;&gt;"",D109&lt;&gt;""),D109-C109+1,"")</f>
        <v/>
      </c>
      <c r="K109" s="10">
        <f>IF(AND(J109&lt;&gt;"",F109&lt;&gt;""),F109/J109,"")</f>
        <v/>
      </c>
      <c r="L109" s="11">
        <f>IF(AND(E109&gt;0,F109&lt;&gt;""),F109/E109,"")</f>
        <v/>
      </c>
      <c r="M109" s="6" t="n"/>
    </row>
    <row r="110">
      <c r="A110" s="6" t="n"/>
      <c r="B110" s="6" t="n"/>
      <c r="C110" s="7" t="n"/>
      <c r="D110" s="7" t="n"/>
      <c r="E110" s="6" t="n"/>
      <c r="F110" s="8" t="n"/>
      <c r="G110" s="8" t="n"/>
      <c r="H110" s="8" t="n"/>
      <c r="I110" s="6" t="n"/>
      <c r="J110" s="9">
        <f>IF(AND(C110&lt;&gt;"",D110&lt;&gt;""),D110-C110+1,"")</f>
        <v/>
      </c>
      <c r="K110" s="10">
        <f>IF(AND(J110&lt;&gt;"",F110&lt;&gt;""),F110/J110,"")</f>
        <v/>
      </c>
      <c r="L110" s="11">
        <f>IF(AND(E110&gt;0,F110&lt;&gt;""),F110/E110,"")</f>
        <v/>
      </c>
      <c r="M110" s="6" t="n"/>
    </row>
    <row r="111">
      <c r="A111" s="6" t="n"/>
      <c r="B111" s="6" t="n"/>
      <c r="C111" s="7" t="n"/>
      <c r="D111" s="7" t="n"/>
      <c r="E111" s="6" t="n"/>
      <c r="F111" s="8" t="n"/>
      <c r="G111" s="8" t="n"/>
      <c r="H111" s="8" t="n"/>
      <c r="I111" s="6" t="n"/>
      <c r="J111" s="9">
        <f>IF(AND(C111&lt;&gt;"",D111&lt;&gt;""),D111-C111+1,"")</f>
        <v/>
      </c>
      <c r="K111" s="10">
        <f>IF(AND(J111&lt;&gt;"",F111&lt;&gt;""),F111/J111,"")</f>
        <v/>
      </c>
      <c r="L111" s="11">
        <f>IF(AND(E111&gt;0,F111&lt;&gt;""),F111/E111,"")</f>
        <v/>
      </c>
      <c r="M111" s="6" t="n"/>
    </row>
    <row r="112">
      <c r="A112" s="6" t="n"/>
      <c r="B112" s="6" t="n"/>
      <c r="C112" s="7" t="n"/>
      <c r="D112" s="7" t="n"/>
      <c r="E112" s="6" t="n"/>
      <c r="F112" s="8" t="n"/>
      <c r="G112" s="8" t="n"/>
      <c r="H112" s="8" t="n"/>
      <c r="I112" s="6" t="n"/>
      <c r="J112" s="9">
        <f>IF(AND(C112&lt;&gt;"",D112&lt;&gt;""),D112-C112+1,"")</f>
        <v/>
      </c>
      <c r="K112" s="10">
        <f>IF(AND(J112&lt;&gt;"",F112&lt;&gt;""),F112/J112,"")</f>
        <v/>
      </c>
      <c r="L112" s="11">
        <f>IF(AND(E112&gt;0,F112&lt;&gt;""),F112/E112,"")</f>
        <v/>
      </c>
      <c r="M112" s="6" t="n"/>
    </row>
    <row r="113">
      <c r="A113" s="6" t="n"/>
      <c r="B113" s="6" t="n"/>
      <c r="C113" s="7" t="n"/>
      <c r="D113" s="7" t="n"/>
      <c r="E113" s="6" t="n"/>
      <c r="F113" s="8" t="n"/>
      <c r="G113" s="8" t="n"/>
      <c r="H113" s="8" t="n"/>
      <c r="I113" s="6" t="n"/>
      <c r="J113" s="9">
        <f>IF(AND(C113&lt;&gt;"",D113&lt;&gt;""),D113-C113+1,"")</f>
        <v/>
      </c>
      <c r="K113" s="10">
        <f>IF(AND(J113&lt;&gt;"",F113&lt;&gt;""),F113/J113,"")</f>
        <v/>
      </c>
      <c r="L113" s="11">
        <f>IF(AND(E113&gt;0,F113&lt;&gt;""),F113/E113,"")</f>
        <v/>
      </c>
      <c r="M113" s="6" t="n"/>
    </row>
    <row r="114">
      <c r="A114" s="6" t="n"/>
      <c r="B114" s="6" t="n"/>
      <c r="C114" s="7" t="n"/>
      <c r="D114" s="7" t="n"/>
      <c r="E114" s="6" t="n"/>
      <c r="F114" s="8" t="n"/>
      <c r="G114" s="8" t="n"/>
      <c r="H114" s="8" t="n"/>
      <c r="I114" s="6" t="n"/>
      <c r="J114" s="9">
        <f>IF(AND(C114&lt;&gt;"",D114&lt;&gt;""),D114-C114+1,"")</f>
        <v/>
      </c>
      <c r="K114" s="10">
        <f>IF(AND(J114&lt;&gt;"",F114&lt;&gt;""),F114/J114,"")</f>
        <v/>
      </c>
      <c r="L114" s="11">
        <f>IF(AND(E114&gt;0,F114&lt;&gt;""),F114/E114,"")</f>
        <v/>
      </c>
      <c r="M114" s="6" t="n"/>
    </row>
    <row r="115">
      <c r="A115" s="6" t="n"/>
      <c r="B115" s="6" t="n"/>
      <c r="C115" s="7" t="n"/>
      <c r="D115" s="7" t="n"/>
      <c r="E115" s="6" t="n"/>
      <c r="F115" s="8" t="n"/>
      <c r="G115" s="8" t="n"/>
      <c r="H115" s="8" t="n"/>
      <c r="I115" s="6" t="n"/>
      <c r="J115" s="9">
        <f>IF(AND(C115&lt;&gt;"",D115&lt;&gt;""),D115-C115+1,"")</f>
        <v/>
      </c>
      <c r="K115" s="10">
        <f>IF(AND(J115&lt;&gt;"",F115&lt;&gt;""),F115/J115,"")</f>
        <v/>
      </c>
      <c r="L115" s="11">
        <f>IF(AND(E115&gt;0,F115&lt;&gt;""),F115/E115,"")</f>
        <v/>
      </c>
      <c r="M115" s="6" t="n"/>
    </row>
    <row r="116">
      <c r="A116" s="6" t="n"/>
      <c r="B116" s="6" t="n"/>
      <c r="C116" s="7" t="n"/>
      <c r="D116" s="7" t="n"/>
      <c r="E116" s="6" t="n"/>
      <c r="F116" s="8" t="n"/>
      <c r="G116" s="8" t="n"/>
      <c r="H116" s="8" t="n"/>
      <c r="I116" s="6" t="n"/>
      <c r="J116" s="9">
        <f>IF(AND(C116&lt;&gt;"",D116&lt;&gt;""),D116-C116+1,"")</f>
        <v/>
      </c>
      <c r="K116" s="10">
        <f>IF(AND(J116&lt;&gt;"",F116&lt;&gt;""),F116/J116,"")</f>
        <v/>
      </c>
      <c r="L116" s="11">
        <f>IF(AND(E116&gt;0,F116&lt;&gt;""),F116/E116,"")</f>
        <v/>
      </c>
      <c r="M116" s="6" t="n"/>
    </row>
    <row r="117">
      <c r="A117" s="6" t="n"/>
      <c r="B117" s="6" t="n"/>
      <c r="C117" s="7" t="n"/>
      <c r="D117" s="7" t="n"/>
      <c r="E117" s="6" t="n"/>
      <c r="F117" s="8" t="n"/>
      <c r="G117" s="8" t="n"/>
      <c r="H117" s="8" t="n"/>
      <c r="I117" s="6" t="n"/>
      <c r="J117" s="9">
        <f>IF(AND(C117&lt;&gt;"",D117&lt;&gt;""),D117-C117+1,"")</f>
        <v/>
      </c>
      <c r="K117" s="10">
        <f>IF(AND(J117&lt;&gt;"",F117&lt;&gt;""),F117/J117,"")</f>
        <v/>
      </c>
      <c r="L117" s="11">
        <f>IF(AND(E117&gt;0,F117&lt;&gt;""),F117/E117,"")</f>
        <v/>
      </c>
      <c r="M117" s="6" t="n"/>
    </row>
    <row r="118">
      <c r="A118" s="6" t="n"/>
      <c r="B118" s="6" t="n"/>
      <c r="C118" s="7" t="n"/>
      <c r="D118" s="7" t="n"/>
      <c r="E118" s="6" t="n"/>
      <c r="F118" s="8" t="n"/>
      <c r="G118" s="8" t="n"/>
      <c r="H118" s="8" t="n"/>
      <c r="I118" s="6" t="n"/>
      <c r="J118" s="9">
        <f>IF(AND(C118&lt;&gt;"",D118&lt;&gt;""),D118-C118+1,"")</f>
        <v/>
      </c>
      <c r="K118" s="10">
        <f>IF(AND(J118&lt;&gt;"",F118&lt;&gt;""),F118/J118,"")</f>
        <v/>
      </c>
      <c r="L118" s="11">
        <f>IF(AND(E118&gt;0,F118&lt;&gt;""),F118/E118,"")</f>
        <v/>
      </c>
      <c r="M118" s="6" t="n"/>
    </row>
    <row r="119">
      <c r="A119" s="6" t="n"/>
      <c r="B119" s="6" t="n"/>
      <c r="C119" s="7" t="n"/>
      <c r="D119" s="7" t="n"/>
      <c r="E119" s="6" t="n"/>
      <c r="F119" s="8" t="n"/>
      <c r="G119" s="8" t="n"/>
      <c r="H119" s="8" t="n"/>
      <c r="I119" s="6" t="n"/>
      <c r="J119" s="9">
        <f>IF(AND(C119&lt;&gt;"",D119&lt;&gt;""),D119-C119+1,"")</f>
        <v/>
      </c>
      <c r="K119" s="10">
        <f>IF(AND(J119&lt;&gt;"",F119&lt;&gt;""),F119/J119,"")</f>
        <v/>
      </c>
      <c r="L119" s="11">
        <f>IF(AND(E119&gt;0,F119&lt;&gt;""),F119/E119,"")</f>
        <v/>
      </c>
      <c r="M119" s="6" t="n"/>
    </row>
    <row r="120">
      <c r="A120" s="6" t="n"/>
      <c r="B120" s="6" t="n"/>
      <c r="C120" s="7" t="n"/>
      <c r="D120" s="7" t="n"/>
      <c r="E120" s="6" t="n"/>
      <c r="F120" s="8" t="n"/>
      <c r="G120" s="8" t="n"/>
      <c r="H120" s="8" t="n"/>
      <c r="I120" s="6" t="n"/>
      <c r="J120" s="9">
        <f>IF(AND(C120&lt;&gt;"",D120&lt;&gt;""),D120-C120+1,"")</f>
        <v/>
      </c>
      <c r="K120" s="10">
        <f>IF(AND(J120&lt;&gt;"",F120&lt;&gt;""),F120/J120,"")</f>
        <v/>
      </c>
      <c r="L120" s="11">
        <f>IF(AND(E120&gt;0,F120&lt;&gt;""),F120/E120,"")</f>
        <v/>
      </c>
      <c r="M120" s="6" t="n"/>
    </row>
    <row r="121">
      <c r="A121" s="6" t="n"/>
      <c r="B121" s="6" t="n"/>
      <c r="C121" s="7" t="n"/>
      <c r="D121" s="7" t="n"/>
      <c r="E121" s="6" t="n"/>
      <c r="F121" s="8" t="n"/>
      <c r="G121" s="8" t="n"/>
      <c r="H121" s="8" t="n"/>
      <c r="I121" s="6" t="n"/>
      <c r="J121" s="9">
        <f>IF(AND(C121&lt;&gt;"",D121&lt;&gt;""),D121-C121+1,"")</f>
        <v/>
      </c>
      <c r="K121" s="10">
        <f>IF(AND(J121&lt;&gt;"",F121&lt;&gt;""),F121/J121,"")</f>
        <v/>
      </c>
      <c r="L121" s="11">
        <f>IF(AND(E121&gt;0,F121&lt;&gt;""),F121/E121,"")</f>
        <v/>
      </c>
      <c r="M121" s="6" t="n"/>
    </row>
    <row r="122">
      <c r="A122" s="6" t="n"/>
      <c r="B122" s="6" t="n"/>
      <c r="C122" s="7" t="n"/>
      <c r="D122" s="7" t="n"/>
      <c r="E122" s="6" t="n"/>
      <c r="F122" s="8" t="n"/>
      <c r="G122" s="8" t="n"/>
      <c r="H122" s="8" t="n"/>
      <c r="I122" s="6" t="n"/>
      <c r="J122" s="9">
        <f>IF(AND(C122&lt;&gt;"",D122&lt;&gt;""),D122-C122+1,"")</f>
        <v/>
      </c>
      <c r="K122" s="10">
        <f>IF(AND(J122&lt;&gt;"",F122&lt;&gt;""),F122/J122,"")</f>
        <v/>
      </c>
      <c r="L122" s="11">
        <f>IF(AND(E122&gt;0,F122&lt;&gt;""),F122/E122,"")</f>
        <v/>
      </c>
      <c r="M122" s="6" t="n"/>
    </row>
    <row r="123">
      <c r="A123" s="6" t="n"/>
      <c r="B123" s="6" t="n"/>
      <c r="C123" s="7" t="n"/>
      <c r="D123" s="7" t="n"/>
      <c r="E123" s="6" t="n"/>
      <c r="F123" s="8" t="n"/>
      <c r="G123" s="8" t="n"/>
      <c r="H123" s="8" t="n"/>
      <c r="I123" s="6" t="n"/>
      <c r="J123" s="9">
        <f>IF(AND(C123&lt;&gt;"",D123&lt;&gt;""),D123-C123+1,"")</f>
        <v/>
      </c>
      <c r="K123" s="10">
        <f>IF(AND(J123&lt;&gt;"",F123&lt;&gt;""),F123/J123,"")</f>
        <v/>
      </c>
      <c r="L123" s="11">
        <f>IF(AND(E123&gt;0,F123&lt;&gt;""),F123/E123,"")</f>
        <v/>
      </c>
      <c r="M123" s="6" t="n"/>
    </row>
    <row r="124">
      <c r="A124" s="6" t="n"/>
      <c r="B124" s="6" t="n"/>
      <c r="C124" s="7" t="n"/>
      <c r="D124" s="7" t="n"/>
      <c r="E124" s="6" t="n"/>
      <c r="F124" s="8" t="n"/>
      <c r="G124" s="8" t="n"/>
      <c r="H124" s="8" t="n"/>
      <c r="I124" s="6" t="n"/>
      <c r="J124" s="9">
        <f>IF(AND(C124&lt;&gt;"",D124&lt;&gt;""),D124-C124+1,"")</f>
        <v/>
      </c>
      <c r="K124" s="10">
        <f>IF(AND(J124&lt;&gt;"",F124&lt;&gt;""),F124/J124,"")</f>
        <v/>
      </c>
      <c r="L124" s="11">
        <f>IF(AND(E124&gt;0,F124&lt;&gt;""),F124/E124,"")</f>
        <v/>
      </c>
      <c r="M124" s="6" t="n"/>
    </row>
    <row r="125">
      <c r="A125" s="6" t="n"/>
      <c r="B125" s="6" t="n"/>
      <c r="C125" s="7" t="n"/>
      <c r="D125" s="7" t="n"/>
      <c r="E125" s="6" t="n"/>
      <c r="F125" s="8" t="n"/>
      <c r="G125" s="8" t="n"/>
      <c r="H125" s="8" t="n"/>
      <c r="I125" s="6" t="n"/>
      <c r="J125" s="9">
        <f>IF(AND(C125&lt;&gt;"",D125&lt;&gt;""),D125-C125+1,"")</f>
        <v/>
      </c>
      <c r="K125" s="10">
        <f>IF(AND(J125&lt;&gt;"",F125&lt;&gt;""),F125/J125,"")</f>
        <v/>
      </c>
      <c r="L125" s="11">
        <f>IF(AND(E125&gt;0,F125&lt;&gt;""),F125/E125,"")</f>
        <v/>
      </c>
      <c r="M125" s="6" t="n"/>
    </row>
    <row r="126">
      <c r="A126" s="6" t="n"/>
      <c r="B126" s="6" t="n"/>
      <c r="C126" s="7" t="n"/>
      <c r="D126" s="7" t="n"/>
      <c r="E126" s="6" t="n"/>
      <c r="F126" s="8" t="n"/>
      <c r="G126" s="8" t="n"/>
      <c r="H126" s="8" t="n"/>
      <c r="I126" s="6" t="n"/>
      <c r="J126" s="9">
        <f>IF(AND(C126&lt;&gt;"",D126&lt;&gt;""),D126-C126+1,"")</f>
        <v/>
      </c>
      <c r="K126" s="10">
        <f>IF(AND(J126&lt;&gt;"",F126&lt;&gt;""),F126/J126,"")</f>
        <v/>
      </c>
      <c r="L126" s="11">
        <f>IF(AND(E126&gt;0,F126&lt;&gt;""),F126/E126,"")</f>
        <v/>
      </c>
      <c r="M126" s="6" t="n"/>
    </row>
    <row r="127">
      <c r="A127" s="6" t="n"/>
      <c r="B127" s="6" t="n"/>
      <c r="C127" s="7" t="n"/>
      <c r="D127" s="7" t="n"/>
      <c r="E127" s="6" t="n"/>
      <c r="F127" s="8" t="n"/>
      <c r="G127" s="8" t="n"/>
      <c r="H127" s="8" t="n"/>
      <c r="I127" s="6" t="n"/>
      <c r="J127" s="9">
        <f>IF(AND(C127&lt;&gt;"",D127&lt;&gt;""),D127-C127+1,"")</f>
        <v/>
      </c>
      <c r="K127" s="10">
        <f>IF(AND(J127&lt;&gt;"",F127&lt;&gt;""),F127/J127,"")</f>
        <v/>
      </c>
      <c r="L127" s="11">
        <f>IF(AND(E127&gt;0,F127&lt;&gt;""),F127/E127,"")</f>
        <v/>
      </c>
      <c r="M127" s="6" t="n"/>
    </row>
    <row r="128">
      <c r="A128" s="6" t="n"/>
      <c r="B128" s="6" t="n"/>
      <c r="C128" s="7" t="n"/>
      <c r="D128" s="7" t="n"/>
      <c r="E128" s="6" t="n"/>
      <c r="F128" s="8" t="n"/>
      <c r="G128" s="8" t="n"/>
      <c r="H128" s="8" t="n"/>
      <c r="I128" s="6" t="n"/>
      <c r="J128" s="9">
        <f>IF(AND(C128&lt;&gt;"",D128&lt;&gt;""),D128-C128+1,"")</f>
        <v/>
      </c>
      <c r="K128" s="10">
        <f>IF(AND(J128&lt;&gt;"",F128&lt;&gt;""),F128/J128,"")</f>
        <v/>
      </c>
      <c r="L128" s="11">
        <f>IF(AND(E128&gt;0,F128&lt;&gt;""),F128/E128,"")</f>
        <v/>
      </c>
      <c r="M128" s="6" t="n"/>
    </row>
    <row r="129">
      <c r="A129" s="6" t="n"/>
      <c r="B129" s="6" t="n"/>
      <c r="C129" s="7" t="n"/>
      <c r="D129" s="7" t="n"/>
      <c r="E129" s="6" t="n"/>
      <c r="F129" s="8" t="n"/>
      <c r="G129" s="8" t="n"/>
      <c r="H129" s="8" t="n"/>
      <c r="I129" s="6" t="n"/>
      <c r="J129" s="9">
        <f>IF(AND(C129&lt;&gt;"",D129&lt;&gt;""),D129-C129+1,"")</f>
        <v/>
      </c>
      <c r="K129" s="10">
        <f>IF(AND(J129&lt;&gt;"",F129&lt;&gt;""),F129/J129,"")</f>
        <v/>
      </c>
      <c r="L129" s="11">
        <f>IF(AND(E129&gt;0,F129&lt;&gt;""),F129/E129,"")</f>
        <v/>
      </c>
      <c r="M129" s="6" t="n"/>
    </row>
    <row r="130">
      <c r="A130" s="6" t="n"/>
      <c r="B130" s="6" t="n"/>
      <c r="C130" s="7" t="n"/>
      <c r="D130" s="7" t="n"/>
      <c r="E130" s="6" t="n"/>
      <c r="F130" s="8" t="n"/>
      <c r="G130" s="8" t="n"/>
      <c r="H130" s="8" t="n"/>
      <c r="I130" s="6" t="n"/>
      <c r="J130" s="9">
        <f>IF(AND(C130&lt;&gt;"",D130&lt;&gt;""),D130-C130+1,"")</f>
        <v/>
      </c>
      <c r="K130" s="10">
        <f>IF(AND(J130&lt;&gt;"",F130&lt;&gt;""),F130/J130,"")</f>
        <v/>
      </c>
      <c r="L130" s="11">
        <f>IF(AND(E130&gt;0,F130&lt;&gt;""),F130/E130,"")</f>
        <v/>
      </c>
      <c r="M130" s="6" t="n"/>
    </row>
    <row r="131">
      <c r="A131" s="6" t="n"/>
      <c r="B131" s="6" t="n"/>
      <c r="C131" s="7" t="n"/>
      <c r="D131" s="7" t="n"/>
      <c r="E131" s="6" t="n"/>
      <c r="F131" s="8" t="n"/>
      <c r="G131" s="8" t="n"/>
      <c r="H131" s="8" t="n"/>
      <c r="I131" s="6" t="n"/>
      <c r="J131" s="9">
        <f>IF(AND(C131&lt;&gt;"",D131&lt;&gt;""),D131-C131+1,"")</f>
        <v/>
      </c>
      <c r="K131" s="10">
        <f>IF(AND(J131&lt;&gt;"",F131&lt;&gt;""),F131/J131,"")</f>
        <v/>
      </c>
      <c r="L131" s="11">
        <f>IF(AND(E131&gt;0,F131&lt;&gt;""),F131/E131,"")</f>
        <v/>
      </c>
      <c r="M131" s="6" t="n"/>
    </row>
    <row r="132">
      <c r="A132" s="6" t="n"/>
      <c r="B132" s="6" t="n"/>
      <c r="C132" s="7" t="n"/>
      <c r="D132" s="7" t="n"/>
      <c r="E132" s="6" t="n"/>
      <c r="F132" s="8" t="n"/>
      <c r="G132" s="8" t="n"/>
      <c r="H132" s="8" t="n"/>
      <c r="I132" s="6" t="n"/>
      <c r="J132" s="9">
        <f>IF(AND(C132&lt;&gt;"",D132&lt;&gt;""),D132-C132+1,"")</f>
        <v/>
      </c>
      <c r="K132" s="10">
        <f>IF(AND(J132&lt;&gt;"",F132&lt;&gt;""),F132/J132,"")</f>
        <v/>
      </c>
      <c r="L132" s="11">
        <f>IF(AND(E132&gt;0,F132&lt;&gt;""),F132/E132,"")</f>
        <v/>
      </c>
      <c r="M132" s="6" t="n"/>
    </row>
    <row r="133">
      <c r="A133" s="6" t="n"/>
      <c r="B133" s="6" t="n"/>
      <c r="C133" s="7" t="n"/>
      <c r="D133" s="7" t="n"/>
      <c r="E133" s="6" t="n"/>
      <c r="F133" s="8" t="n"/>
      <c r="G133" s="8" t="n"/>
      <c r="H133" s="8" t="n"/>
      <c r="I133" s="6" t="n"/>
      <c r="J133" s="9">
        <f>IF(AND(C133&lt;&gt;"",D133&lt;&gt;""),D133-C133+1,"")</f>
        <v/>
      </c>
      <c r="K133" s="10">
        <f>IF(AND(J133&lt;&gt;"",F133&lt;&gt;""),F133/J133,"")</f>
        <v/>
      </c>
      <c r="L133" s="11">
        <f>IF(AND(E133&gt;0,F133&lt;&gt;""),F133/E133,"")</f>
        <v/>
      </c>
      <c r="M133" s="6" t="n"/>
    </row>
    <row r="134">
      <c r="A134" s="6" t="n"/>
      <c r="B134" s="6" t="n"/>
      <c r="C134" s="7" t="n"/>
      <c r="D134" s="7" t="n"/>
      <c r="E134" s="6" t="n"/>
      <c r="F134" s="8" t="n"/>
      <c r="G134" s="8" t="n"/>
      <c r="H134" s="8" t="n"/>
      <c r="I134" s="6" t="n"/>
      <c r="J134" s="9">
        <f>IF(AND(C134&lt;&gt;"",D134&lt;&gt;""),D134-C134+1,"")</f>
        <v/>
      </c>
      <c r="K134" s="10">
        <f>IF(AND(J134&lt;&gt;"",F134&lt;&gt;""),F134/J134,"")</f>
        <v/>
      </c>
      <c r="L134" s="11">
        <f>IF(AND(E134&gt;0,F134&lt;&gt;""),F134/E134,"")</f>
        <v/>
      </c>
      <c r="M134" s="6" t="n"/>
    </row>
    <row r="135">
      <c r="A135" s="6" t="n"/>
      <c r="B135" s="6" t="n"/>
      <c r="C135" s="7" t="n"/>
      <c r="D135" s="7" t="n"/>
      <c r="E135" s="6" t="n"/>
      <c r="F135" s="8" t="n"/>
      <c r="G135" s="8" t="n"/>
      <c r="H135" s="8" t="n"/>
      <c r="I135" s="6" t="n"/>
      <c r="J135" s="9">
        <f>IF(AND(C135&lt;&gt;"",D135&lt;&gt;""),D135-C135+1,"")</f>
        <v/>
      </c>
      <c r="K135" s="10">
        <f>IF(AND(J135&lt;&gt;"",F135&lt;&gt;""),F135/J135,"")</f>
        <v/>
      </c>
      <c r="L135" s="11">
        <f>IF(AND(E135&gt;0,F135&lt;&gt;""),F135/E135,"")</f>
        <v/>
      </c>
      <c r="M135" s="6" t="n"/>
    </row>
    <row r="136">
      <c r="A136" s="6" t="n"/>
      <c r="B136" s="6" t="n"/>
      <c r="C136" s="7" t="n"/>
      <c r="D136" s="7" t="n"/>
      <c r="E136" s="6" t="n"/>
      <c r="F136" s="8" t="n"/>
      <c r="G136" s="8" t="n"/>
      <c r="H136" s="8" t="n"/>
      <c r="I136" s="6" t="n"/>
      <c r="J136" s="9">
        <f>IF(AND(C136&lt;&gt;"",D136&lt;&gt;""),D136-C136+1,"")</f>
        <v/>
      </c>
      <c r="K136" s="10">
        <f>IF(AND(J136&lt;&gt;"",F136&lt;&gt;""),F136/J136,"")</f>
        <v/>
      </c>
      <c r="L136" s="11">
        <f>IF(AND(E136&gt;0,F136&lt;&gt;""),F136/E136,"")</f>
        <v/>
      </c>
      <c r="M136" s="6" t="n"/>
    </row>
    <row r="137">
      <c r="A137" s="6" t="n"/>
      <c r="B137" s="6" t="n"/>
      <c r="C137" s="7" t="n"/>
      <c r="D137" s="7" t="n"/>
      <c r="E137" s="6" t="n"/>
      <c r="F137" s="8" t="n"/>
      <c r="G137" s="8" t="n"/>
      <c r="H137" s="8" t="n"/>
      <c r="I137" s="6" t="n"/>
      <c r="J137" s="9">
        <f>IF(AND(C137&lt;&gt;"",D137&lt;&gt;""),D137-C137+1,"")</f>
        <v/>
      </c>
      <c r="K137" s="10">
        <f>IF(AND(J137&lt;&gt;"",F137&lt;&gt;""),F137/J137,"")</f>
        <v/>
      </c>
      <c r="L137" s="11">
        <f>IF(AND(E137&gt;0,F137&lt;&gt;""),F137/E137,"")</f>
        <v/>
      </c>
      <c r="M137" s="6" t="n"/>
    </row>
    <row r="138">
      <c r="A138" s="6" t="n"/>
      <c r="B138" s="6" t="n"/>
      <c r="C138" s="7" t="n"/>
      <c r="D138" s="7" t="n"/>
      <c r="E138" s="6" t="n"/>
      <c r="F138" s="8" t="n"/>
      <c r="G138" s="8" t="n"/>
      <c r="H138" s="8" t="n"/>
      <c r="I138" s="6" t="n"/>
      <c r="J138" s="9">
        <f>IF(AND(C138&lt;&gt;"",D138&lt;&gt;""),D138-C138+1,"")</f>
        <v/>
      </c>
      <c r="K138" s="10">
        <f>IF(AND(J138&lt;&gt;"",F138&lt;&gt;""),F138/J138,"")</f>
        <v/>
      </c>
      <c r="L138" s="11">
        <f>IF(AND(E138&gt;0,F138&lt;&gt;""),F138/E138,"")</f>
        <v/>
      </c>
      <c r="M138" s="6" t="n"/>
    </row>
    <row r="139">
      <c r="A139" s="6" t="n"/>
      <c r="B139" s="6" t="n"/>
      <c r="C139" s="7" t="n"/>
      <c r="D139" s="7" t="n"/>
      <c r="E139" s="6" t="n"/>
      <c r="F139" s="8" t="n"/>
      <c r="G139" s="8" t="n"/>
      <c r="H139" s="8" t="n"/>
      <c r="I139" s="6" t="n"/>
      <c r="J139" s="9">
        <f>IF(AND(C139&lt;&gt;"",D139&lt;&gt;""),D139-C139+1,"")</f>
        <v/>
      </c>
      <c r="K139" s="10">
        <f>IF(AND(J139&lt;&gt;"",F139&lt;&gt;""),F139/J139,"")</f>
        <v/>
      </c>
      <c r="L139" s="11">
        <f>IF(AND(E139&gt;0,F139&lt;&gt;""),F139/E139,"")</f>
        <v/>
      </c>
      <c r="M139" s="6" t="n"/>
    </row>
    <row r="140">
      <c r="A140" s="6" t="n"/>
      <c r="B140" s="6" t="n"/>
      <c r="C140" s="7" t="n"/>
      <c r="D140" s="7" t="n"/>
      <c r="E140" s="6" t="n"/>
      <c r="F140" s="8" t="n"/>
      <c r="G140" s="8" t="n"/>
      <c r="H140" s="8" t="n"/>
      <c r="I140" s="6" t="n"/>
      <c r="J140" s="9">
        <f>IF(AND(C140&lt;&gt;"",D140&lt;&gt;""),D140-C140+1,"")</f>
        <v/>
      </c>
      <c r="K140" s="10">
        <f>IF(AND(J140&lt;&gt;"",F140&lt;&gt;""),F140/J140,"")</f>
        <v/>
      </c>
      <c r="L140" s="11">
        <f>IF(AND(E140&gt;0,F140&lt;&gt;""),F140/E140,"")</f>
        <v/>
      </c>
      <c r="M140" s="6" t="n"/>
    </row>
    <row r="141">
      <c r="A141" s="6" t="n"/>
      <c r="B141" s="6" t="n"/>
      <c r="C141" s="7" t="n"/>
      <c r="D141" s="7" t="n"/>
      <c r="E141" s="6" t="n"/>
      <c r="F141" s="8" t="n"/>
      <c r="G141" s="8" t="n"/>
      <c r="H141" s="8" t="n"/>
      <c r="I141" s="6" t="n"/>
      <c r="J141" s="9">
        <f>IF(AND(C141&lt;&gt;"",D141&lt;&gt;""),D141-C141+1,"")</f>
        <v/>
      </c>
      <c r="K141" s="10">
        <f>IF(AND(J141&lt;&gt;"",F141&lt;&gt;""),F141/J141,"")</f>
        <v/>
      </c>
      <c r="L141" s="11">
        <f>IF(AND(E141&gt;0,F141&lt;&gt;""),F141/E141,"")</f>
        <v/>
      </c>
      <c r="M141" s="6" t="n"/>
    </row>
    <row r="142">
      <c r="A142" s="6" t="n"/>
      <c r="B142" s="6" t="n"/>
      <c r="C142" s="7" t="n"/>
      <c r="D142" s="7" t="n"/>
      <c r="E142" s="6" t="n"/>
      <c r="F142" s="8" t="n"/>
      <c r="G142" s="8" t="n"/>
      <c r="H142" s="8" t="n"/>
      <c r="I142" s="6" t="n"/>
      <c r="J142" s="9">
        <f>IF(AND(C142&lt;&gt;"",D142&lt;&gt;""),D142-C142+1,"")</f>
        <v/>
      </c>
      <c r="K142" s="10">
        <f>IF(AND(J142&lt;&gt;"",F142&lt;&gt;""),F142/J142,"")</f>
        <v/>
      </c>
      <c r="L142" s="11">
        <f>IF(AND(E142&gt;0,F142&lt;&gt;""),F142/E142,"")</f>
        <v/>
      </c>
      <c r="M142" s="6" t="n"/>
    </row>
    <row r="143">
      <c r="A143" s="6" t="n"/>
      <c r="B143" s="6" t="n"/>
      <c r="C143" s="7" t="n"/>
      <c r="D143" s="7" t="n"/>
      <c r="E143" s="6" t="n"/>
      <c r="F143" s="8" t="n"/>
      <c r="G143" s="8" t="n"/>
      <c r="H143" s="8" t="n"/>
      <c r="I143" s="6" t="n"/>
      <c r="J143" s="9">
        <f>IF(AND(C143&lt;&gt;"",D143&lt;&gt;""),D143-C143+1,"")</f>
        <v/>
      </c>
      <c r="K143" s="10">
        <f>IF(AND(J143&lt;&gt;"",F143&lt;&gt;""),F143/J143,"")</f>
        <v/>
      </c>
      <c r="L143" s="11">
        <f>IF(AND(E143&gt;0,F143&lt;&gt;""),F143/E143,"")</f>
        <v/>
      </c>
      <c r="M143" s="6" t="n"/>
    </row>
    <row r="144">
      <c r="A144" s="6" t="n"/>
      <c r="B144" s="6" t="n"/>
      <c r="C144" s="7" t="n"/>
      <c r="D144" s="7" t="n"/>
      <c r="E144" s="6" t="n"/>
      <c r="F144" s="8" t="n"/>
      <c r="G144" s="8" t="n"/>
      <c r="H144" s="8" t="n"/>
      <c r="I144" s="6" t="n"/>
      <c r="J144" s="9">
        <f>IF(AND(C144&lt;&gt;"",D144&lt;&gt;""),D144-C144+1,"")</f>
        <v/>
      </c>
      <c r="K144" s="10">
        <f>IF(AND(J144&lt;&gt;"",F144&lt;&gt;""),F144/J144,"")</f>
        <v/>
      </c>
      <c r="L144" s="11">
        <f>IF(AND(E144&gt;0,F144&lt;&gt;""),F144/E144,"")</f>
        <v/>
      </c>
      <c r="M144" s="6" t="n"/>
    </row>
    <row r="145">
      <c r="A145" s="6" t="n"/>
      <c r="B145" s="6" t="n"/>
      <c r="C145" s="7" t="n"/>
      <c r="D145" s="7" t="n"/>
      <c r="E145" s="6" t="n"/>
      <c r="F145" s="8" t="n"/>
      <c r="G145" s="8" t="n"/>
      <c r="H145" s="8" t="n"/>
      <c r="I145" s="6" t="n"/>
      <c r="J145" s="9">
        <f>IF(AND(C145&lt;&gt;"",D145&lt;&gt;""),D145-C145+1,"")</f>
        <v/>
      </c>
      <c r="K145" s="10">
        <f>IF(AND(J145&lt;&gt;"",F145&lt;&gt;""),F145/J145,"")</f>
        <v/>
      </c>
      <c r="L145" s="11">
        <f>IF(AND(E145&gt;0,F145&lt;&gt;""),F145/E145,"")</f>
        <v/>
      </c>
      <c r="M145" s="6" t="n"/>
    </row>
    <row r="146">
      <c r="A146" s="6" t="n"/>
      <c r="B146" s="6" t="n"/>
      <c r="C146" s="7" t="n"/>
      <c r="D146" s="7" t="n"/>
      <c r="E146" s="6" t="n"/>
      <c r="F146" s="8" t="n"/>
      <c r="G146" s="8" t="n"/>
      <c r="H146" s="8" t="n"/>
      <c r="I146" s="6" t="n"/>
      <c r="J146" s="9">
        <f>IF(AND(C146&lt;&gt;"",D146&lt;&gt;""),D146-C146+1,"")</f>
        <v/>
      </c>
      <c r="K146" s="10">
        <f>IF(AND(J146&lt;&gt;"",F146&lt;&gt;""),F146/J146,"")</f>
        <v/>
      </c>
      <c r="L146" s="11">
        <f>IF(AND(E146&gt;0,F146&lt;&gt;""),F146/E146,"")</f>
        <v/>
      </c>
      <c r="M146" s="6" t="n"/>
    </row>
    <row r="147">
      <c r="A147" s="6" t="n"/>
      <c r="B147" s="6" t="n"/>
      <c r="C147" s="7" t="n"/>
      <c r="D147" s="7" t="n"/>
      <c r="E147" s="6" t="n"/>
      <c r="F147" s="8" t="n"/>
      <c r="G147" s="8" t="n"/>
      <c r="H147" s="8" t="n"/>
      <c r="I147" s="6" t="n"/>
      <c r="J147" s="9">
        <f>IF(AND(C147&lt;&gt;"",D147&lt;&gt;""),D147-C147+1,"")</f>
        <v/>
      </c>
      <c r="K147" s="10">
        <f>IF(AND(J147&lt;&gt;"",F147&lt;&gt;""),F147/J147,"")</f>
        <v/>
      </c>
      <c r="L147" s="11">
        <f>IF(AND(E147&gt;0,F147&lt;&gt;""),F147/E147,"")</f>
        <v/>
      </c>
      <c r="M147" s="6" t="n"/>
    </row>
    <row r="148">
      <c r="A148" s="6" t="n"/>
      <c r="B148" s="6" t="n"/>
      <c r="C148" s="7" t="n"/>
      <c r="D148" s="7" t="n"/>
      <c r="E148" s="6" t="n"/>
      <c r="F148" s="8" t="n"/>
      <c r="G148" s="8" t="n"/>
      <c r="H148" s="8" t="n"/>
      <c r="I148" s="6" t="n"/>
      <c r="J148" s="9">
        <f>IF(AND(C148&lt;&gt;"",D148&lt;&gt;""),D148-C148+1,"")</f>
        <v/>
      </c>
      <c r="K148" s="10">
        <f>IF(AND(J148&lt;&gt;"",F148&lt;&gt;""),F148/J148,"")</f>
        <v/>
      </c>
      <c r="L148" s="11">
        <f>IF(AND(E148&gt;0,F148&lt;&gt;""),F148/E148,"")</f>
        <v/>
      </c>
      <c r="M148" s="6" t="n"/>
    </row>
    <row r="149">
      <c r="A149" s="6" t="n"/>
      <c r="B149" s="6" t="n"/>
      <c r="C149" s="7" t="n"/>
      <c r="D149" s="7" t="n"/>
      <c r="E149" s="6" t="n"/>
      <c r="F149" s="8" t="n"/>
      <c r="G149" s="8" t="n"/>
      <c r="H149" s="8" t="n"/>
      <c r="I149" s="6" t="n"/>
      <c r="J149" s="9">
        <f>IF(AND(C149&lt;&gt;"",D149&lt;&gt;""),D149-C149+1,"")</f>
        <v/>
      </c>
      <c r="K149" s="10">
        <f>IF(AND(J149&lt;&gt;"",F149&lt;&gt;""),F149/J149,"")</f>
        <v/>
      </c>
      <c r="L149" s="11">
        <f>IF(AND(E149&gt;0,F149&lt;&gt;""),F149/E149,"")</f>
        <v/>
      </c>
      <c r="M149" s="6" t="n"/>
    </row>
    <row r="150">
      <c r="A150" s="6" t="n"/>
      <c r="B150" s="6" t="n"/>
      <c r="C150" s="7" t="n"/>
      <c r="D150" s="7" t="n"/>
      <c r="E150" s="6" t="n"/>
      <c r="F150" s="8" t="n"/>
      <c r="G150" s="8" t="n"/>
      <c r="H150" s="8" t="n"/>
      <c r="I150" s="6" t="n"/>
      <c r="J150" s="9">
        <f>IF(AND(C150&lt;&gt;"",D150&lt;&gt;""),D150-C150+1,"")</f>
        <v/>
      </c>
      <c r="K150" s="10">
        <f>IF(AND(J150&lt;&gt;"",F150&lt;&gt;""),F150/J150,"")</f>
        <v/>
      </c>
      <c r="L150" s="11">
        <f>IF(AND(E150&gt;0,F150&lt;&gt;""),F150/E150,"")</f>
        <v/>
      </c>
      <c r="M150" s="6" t="n"/>
    </row>
    <row r="151">
      <c r="A151" s="6" t="n"/>
      <c r="B151" s="6" t="n"/>
      <c r="C151" s="7" t="n"/>
      <c r="D151" s="7" t="n"/>
      <c r="E151" s="6" t="n"/>
      <c r="F151" s="8" t="n"/>
      <c r="G151" s="8" t="n"/>
      <c r="H151" s="8" t="n"/>
      <c r="I151" s="6" t="n"/>
      <c r="J151" s="9">
        <f>IF(AND(C151&lt;&gt;"",D151&lt;&gt;""),D151-C151+1,"")</f>
        <v/>
      </c>
      <c r="K151" s="10">
        <f>IF(AND(J151&lt;&gt;"",F151&lt;&gt;""),F151/J151,"")</f>
        <v/>
      </c>
      <c r="L151" s="11">
        <f>IF(AND(E151&gt;0,F151&lt;&gt;""),F151/E151,"")</f>
        <v/>
      </c>
      <c r="M151" s="6" t="n"/>
    </row>
    <row r="152">
      <c r="A152" s="6" t="n"/>
      <c r="B152" s="6" t="n"/>
      <c r="C152" s="7" t="n"/>
      <c r="D152" s="7" t="n"/>
      <c r="E152" s="6" t="n"/>
      <c r="F152" s="8" t="n"/>
      <c r="G152" s="8" t="n"/>
      <c r="H152" s="8" t="n"/>
      <c r="I152" s="6" t="n"/>
      <c r="J152" s="9">
        <f>IF(AND(C152&lt;&gt;"",D152&lt;&gt;""),D152-C152+1,"")</f>
        <v/>
      </c>
      <c r="K152" s="10">
        <f>IF(AND(J152&lt;&gt;"",F152&lt;&gt;""),F152/J152,"")</f>
        <v/>
      </c>
      <c r="L152" s="11">
        <f>IF(AND(E152&gt;0,F152&lt;&gt;""),F152/E152,"")</f>
        <v/>
      </c>
      <c r="M152" s="6" t="n"/>
    </row>
    <row r="153">
      <c r="A153" s="6" t="n"/>
      <c r="B153" s="6" t="n"/>
      <c r="C153" s="7" t="n"/>
      <c r="D153" s="7" t="n"/>
      <c r="E153" s="6" t="n"/>
      <c r="F153" s="8" t="n"/>
      <c r="G153" s="8" t="n"/>
      <c r="H153" s="8" t="n"/>
      <c r="I153" s="6" t="n"/>
      <c r="J153" s="9">
        <f>IF(AND(C153&lt;&gt;"",D153&lt;&gt;""),D153-C153+1,"")</f>
        <v/>
      </c>
      <c r="K153" s="10">
        <f>IF(AND(J153&lt;&gt;"",F153&lt;&gt;""),F153/J153,"")</f>
        <v/>
      </c>
      <c r="L153" s="11">
        <f>IF(AND(E153&gt;0,F153&lt;&gt;""),F153/E153,"")</f>
        <v/>
      </c>
      <c r="M153" s="6" t="n"/>
    </row>
    <row r="154">
      <c r="A154" s="6" t="n"/>
      <c r="B154" s="6" t="n"/>
      <c r="C154" s="7" t="n"/>
      <c r="D154" s="7" t="n"/>
      <c r="E154" s="6" t="n"/>
      <c r="F154" s="8" t="n"/>
      <c r="G154" s="8" t="n"/>
      <c r="H154" s="8" t="n"/>
      <c r="I154" s="6" t="n"/>
      <c r="J154" s="9">
        <f>IF(AND(C154&lt;&gt;"",D154&lt;&gt;""),D154-C154+1,"")</f>
        <v/>
      </c>
      <c r="K154" s="10">
        <f>IF(AND(J154&lt;&gt;"",F154&lt;&gt;""),F154/J154,"")</f>
        <v/>
      </c>
      <c r="L154" s="11">
        <f>IF(AND(E154&gt;0,F154&lt;&gt;""),F154/E154,"")</f>
        <v/>
      </c>
      <c r="M154" s="6" t="n"/>
    </row>
    <row r="155">
      <c r="A155" s="6" t="n"/>
      <c r="B155" s="6" t="n"/>
      <c r="C155" s="7" t="n"/>
      <c r="D155" s="7" t="n"/>
      <c r="E155" s="6" t="n"/>
      <c r="F155" s="8" t="n"/>
      <c r="G155" s="8" t="n"/>
      <c r="H155" s="8" t="n"/>
      <c r="I155" s="6" t="n"/>
      <c r="J155" s="9">
        <f>IF(AND(C155&lt;&gt;"",D155&lt;&gt;""),D155-C155+1,"")</f>
        <v/>
      </c>
      <c r="K155" s="10">
        <f>IF(AND(J155&lt;&gt;"",F155&lt;&gt;""),F155/J155,"")</f>
        <v/>
      </c>
      <c r="L155" s="11">
        <f>IF(AND(E155&gt;0,F155&lt;&gt;""),F155/E155,"")</f>
        <v/>
      </c>
      <c r="M155" s="6" t="n"/>
    </row>
    <row r="156">
      <c r="A156" s="6" t="n"/>
      <c r="B156" s="6" t="n"/>
      <c r="C156" s="7" t="n"/>
      <c r="D156" s="7" t="n"/>
      <c r="E156" s="6" t="n"/>
      <c r="F156" s="8" t="n"/>
      <c r="G156" s="8" t="n"/>
      <c r="H156" s="8" t="n"/>
      <c r="I156" s="6" t="n"/>
      <c r="J156" s="9">
        <f>IF(AND(C156&lt;&gt;"",D156&lt;&gt;""),D156-C156+1,"")</f>
        <v/>
      </c>
      <c r="K156" s="10">
        <f>IF(AND(J156&lt;&gt;"",F156&lt;&gt;""),F156/J156,"")</f>
        <v/>
      </c>
      <c r="L156" s="11">
        <f>IF(AND(E156&gt;0,F156&lt;&gt;""),F156/E156,"")</f>
        <v/>
      </c>
      <c r="M156" s="6" t="n"/>
    </row>
    <row r="157">
      <c r="A157" s="6" t="n"/>
      <c r="B157" s="6" t="n"/>
      <c r="C157" s="7" t="n"/>
      <c r="D157" s="7" t="n"/>
      <c r="E157" s="6" t="n"/>
      <c r="F157" s="8" t="n"/>
      <c r="G157" s="8" t="n"/>
      <c r="H157" s="8" t="n"/>
      <c r="I157" s="6" t="n"/>
      <c r="J157" s="9">
        <f>IF(AND(C157&lt;&gt;"",D157&lt;&gt;""),D157-C157+1,"")</f>
        <v/>
      </c>
      <c r="K157" s="10">
        <f>IF(AND(J157&lt;&gt;"",F157&lt;&gt;""),F157/J157,"")</f>
        <v/>
      </c>
      <c r="L157" s="11">
        <f>IF(AND(E157&gt;0,F157&lt;&gt;""),F157/E157,"")</f>
        <v/>
      </c>
      <c r="M157" s="6" t="n"/>
    </row>
    <row r="158">
      <c r="A158" s="6" t="n"/>
      <c r="B158" s="6" t="n"/>
      <c r="C158" s="7" t="n"/>
      <c r="D158" s="7" t="n"/>
      <c r="E158" s="6" t="n"/>
      <c r="F158" s="8" t="n"/>
      <c r="G158" s="8" t="n"/>
      <c r="H158" s="8" t="n"/>
      <c r="I158" s="6" t="n"/>
      <c r="J158" s="9">
        <f>IF(AND(C158&lt;&gt;"",D158&lt;&gt;""),D158-C158+1,"")</f>
        <v/>
      </c>
      <c r="K158" s="10">
        <f>IF(AND(J158&lt;&gt;"",F158&lt;&gt;""),F158/J158,"")</f>
        <v/>
      </c>
      <c r="L158" s="11">
        <f>IF(AND(E158&gt;0,F158&lt;&gt;""),F158/E158,"")</f>
        <v/>
      </c>
      <c r="M158" s="6" t="n"/>
    </row>
    <row r="159">
      <c r="A159" s="6" t="n"/>
      <c r="B159" s="6" t="n"/>
      <c r="C159" s="7" t="n"/>
      <c r="D159" s="7" t="n"/>
      <c r="E159" s="6" t="n"/>
      <c r="F159" s="8" t="n"/>
      <c r="G159" s="8" t="n"/>
      <c r="H159" s="8" t="n"/>
      <c r="I159" s="6" t="n"/>
      <c r="J159" s="9">
        <f>IF(AND(C159&lt;&gt;"",D159&lt;&gt;""),D159-C159+1,"")</f>
        <v/>
      </c>
      <c r="K159" s="10">
        <f>IF(AND(J159&lt;&gt;"",F159&lt;&gt;""),F159/J159,"")</f>
        <v/>
      </c>
      <c r="L159" s="11">
        <f>IF(AND(E159&gt;0,F159&lt;&gt;""),F159/E159,"")</f>
        <v/>
      </c>
      <c r="M159" s="6" t="n"/>
    </row>
    <row r="160">
      <c r="A160" s="6" t="n"/>
      <c r="B160" s="6" t="n"/>
      <c r="C160" s="7" t="n"/>
      <c r="D160" s="7" t="n"/>
      <c r="E160" s="6" t="n"/>
      <c r="F160" s="8" t="n"/>
      <c r="G160" s="8" t="n"/>
      <c r="H160" s="8" t="n"/>
      <c r="I160" s="6" t="n"/>
      <c r="J160" s="9">
        <f>IF(AND(C160&lt;&gt;"",D160&lt;&gt;""),D160-C160+1,"")</f>
        <v/>
      </c>
      <c r="K160" s="10">
        <f>IF(AND(J160&lt;&gt;"",F160&lt;&gt;""),F160/J160,"")</f>
        <v/>
      </c>
      <c r="L160" s="11">
        <f>IF(AND(E160&gt;0,F160&lt;&gt;""),F160/E160,"")</f>
        <v/>
      </c>
      <c r="M160" s="6" t="n"/>
    </row>
    <row r="161">
      <c r="A161" s="6" t="n"/>
      <c r="B161" s="6" t="n"/>
      <c r="C161" s="7" t="n"/>
      <c r="D161" s="7" t="n"/>
      <c r="E161" s="6" t="n"/>
      <c r="F161" s="8" t="n"/>
      <c r="G161" s="8" t="n"/>
      <c r="H161" s="8" t="n"/>
      <c r="I161" s="6" t="n"/>
      <c r="J161" s="9">
        <f>IF(AND(C161&lt;&gt;"",D161&lt;&gt;""),D161-C161+1,"")</f>
        <v/>
      </c>
      <c r="K161" s="10">
        <f>IF(AND(J161&lt;&gt;"",F161&lt;&gt;""),F161/J161,"")</f>
        <v/>
      </c>
      <c r="L161" s="11">
        <f>IF(AND(E161&gt;0,F161&lt;&gt;""),F161/E161,"")</f>
        <v/>
      </c>
      <c r="M161" s="6" t="n"/>
    </row>
    <row r="162">
      <c r="A162" s="6" t="n"/>
      <c r="B162" s="6" t="n"/>
      <c r="C162" s="7" t="n"/>
      <c r="D162" s="7" t="n"/>
      <c r="E162" s="6" t="n"/>
      <c r="F162" s="8" t="n"/>
      <c r="G162" s="8" t="n"/>
      <c r="H162" s="8" t="n"/>
      <c r="I162" s="6" t="n"/>
      <c r="J162" s="9">
        <f>IF(AND(C162&lt;&gt;"",D162&lt;&gt;""),D162-C162+1,"")</f>
        <v/>
      </c>
      <c r="K162" s="10">
        <f>IF(AND(J162&lt;&gt;"",F162&lt;&gt;""),F162/J162,"")</f>
        <v/>
      </c>
      <c r="L162" s="11">
        <f>IF(AND(E162&gt;0,F162&lt;&gt;""),F162/E162,"")</f>
        <v/>
      </c>
      <c r="M162" s="6" t="n"/>
    </row>
    <row r="163">
      <c r="A163" s="6" t="n"/>
      <c r="B163" s="6" t="n"/>
      <c r="C163" s="7" t="n"/>
      <c r="D163" s="7" t="n"/>
      <c r="E163" s="6" t="n"/>
      <c r="F163" s="8" t="n"/>
      <c r="G163" s="8" t="n"/>
      <c r="H163" s="8" t="n"/>
      <c r="I163" s="6" t="n"/>
      <c r="J163" s="9">
        <f>IF(AND(C163&lt;&gt;"",D163&lt;&gt;""),D163-C163+1,"")</f>
        <v/>
      </c>
      <c r="K163" s="10">
        <f>IF(AND(J163&lt;&gt;"",F163&lt;&gt;""),F163/J163,"")</f>
        <v/>
      </c>
      <c r="L163" s="11">
        <f>IF(AND(E163&gt;0,F163&lt;&gt;""),F163/E163,"")</f>
        <v/>
      </c>
      <c r="M163" s="6" t="n"/>
    </row>
    <row r="164">
      <c r="A164" s="6" t="n"/>
      <c r="B164" s="6" t="n"/>
      <c r="C164" s="7" t="n"/>
      <c r="D164" s="7" t="n"/>
      <c r="E164" s="6" t="n"/>
      <c r="F164" s="8" t="n"/>
      <c r="G164" s="8" t="n"/>
      <c r="H164" s="8" t="n"/>
      <c r="I164" s="6" t="n"/>
      <c r="J164" s="9">
        <f>IF(AND(C164&lt;&gt;"",D164&lt;&gt;""),D164-C164+1,"")</f>
        <v/>
      </c>
      <c r="K164" s="10">
        <f>IF(AND(J164&lt;&gt;"",F164&lt;&gt;""),F164/J164,"")</f>
        <v/>
      </c>
      <c r="L164" s="11">
        <f>IF(AND(E164&gt;0,F164&lt;&gt;""),F164/E164,"")</f>
        <v/>
      </c>
      <c r="M164" s="6" t="n"/>
    </row>
    <row r="165">
      <c r="A165" s="6" t="n"/>
      <c r="B165" s="6" t="n"/>
      <c r="C165" s="7" t="n"/>
      <c r="D165" s="7" t="n"/>
      <c r="E165" s="6" t="n"/>
      <c r="F165" s="8" t="n"/>
      <c r="G165" s="8" t="n"/>
      <c r="H165" s="8" t="n"/>
      <c r="I165" s="6" t="n"/>
      <c r="J165" s="9">
        <f>IF(AND(C165&lt;&gt;"",D165&lt;&gt;""),D165-C165+1,"")</f>
        <v/>
      </c>
      <c r="K165" s="10">
        <f>IF(AND(J165&lt;&gt;"",F165&lt;&gt;""),F165/J165,"")</f>
        <v/>
      </c>
      <c r="L165" s="11">
        <f>IF(AND(E165&gt;0,F165&lt;&gt;""),F165/E165,"")</f>
        <v/>
      </c>
      <c r="M165" s="6" t="n"/>
    </row>
    <row r="166">
      <c r="A166" s="6" t="n"/>
      <c r="B166" s="6" t="n"/>
      <c r="C166" s="7" t="n"/>
      <c r="D166" s="7" t="n"/>
      <c r="E166" s="6" t="n"/>
      <c r="F166" s="8" t="n"/>
      <c r="G166" s="8" t="n"/>
      <c r="H166" s="8" t="n"/>
      <c r="I166" s="6" t="n"/>
      <c r="J166" s="9">
        <f>IF(AND(C166&lt;&gt;"",D166&lt;&gt;""),D166-C166+1,"")</f>
        <v/>
      </c>
      <c r="K166" s="10">
        <f>IF(AND(J166&lt;&gt;"",F166&lt;&gt;""),F166/J166,"")</f>
        <v/>
      </c>
      <c r="L166" s="11">
        <f>IF(AND(E166&gt;0,F166&lt;&gt;""),F166/E166,"")</f>
        <v/>
      </c>
      <c r="M166" s="6" t="n"/>
    </row>
    <row r="167">
      <c r="A167" s="6" t="n"/>
      <c r="B167" s="6" t="n"/>
      <c r="C167" s="7" t="n"/>
      <c r="D167" s="7" t="n"/>
      <c r="E167" s="6" t="n"/>
      <c r="F167" s="8" t="n"/>
      <c r="G167" s="8" t="n"/>
      <c r="H167" s="8" t="n"/>
      <c r="I167" s="6" t="n"/>
      <c r="J167" s="9">
        <f>IF(AND(C167&lt;&gt;"",D167&lt;&gt;""),D167-C167+1,"")</f>
        <v/>
      </c>
      <c r="K167" s="10">
        <f>IF(AND(J167&lt;&gt;"",F167&lt;&gt;""),F167/J167,"")</f>
        <v/>
      </c>
      <c r="L167" s="11">
        <f>IF(AND(E167&gt;0,F167&lt;&gt;""),F167/E167,"")</f>
        <v/>
      </c>
      <c r="M167" s="6" t="n"/>
    </row>
    <row r="168">
      <c r="A168" s="6" t="n"/>
      <c r="B168" s="6" t="n"/>
      <c r="C168" s="7" t="n"/>
      <c r="D168" s="7" t="n"/>
      <c r="E168" s="6" t="n"/>
      <c r="F168" s="8" t="n"/>
      <c r="G168" s="8" t="n"/>
      <c r="H168" s="8" t="n"/>
      <c r="I168" s="6" t="n"/>
      <c r="J168" s="9">
        <f>IF(AND(C168&lt;&gt;"",D168&lt;&gt;""),D168-C168+1,"")</f>
        <v/>
      </c>
      <c r="K168" s="10">
        <f>IF(AND(J168&lt;&gt;"",F168&lt;&gt;""),F168/J168,"")</f>
        <v/>
      </c>
      <c r="L168" s="11">
        <f>IF(AND(E168&gt;0,F168&lt;&gt;""),F168/E168,"")</f>
        <v/>
      </c>
      <c r="M168" s="6" t="n"/>
    </row>
    <row r="169">
      <c r="A169" s="6" t="n"/>
      <c r="B169" s="6" t="n"/>
      <c r="C169" s="7" t="n"/>
      <c r="D169" s="7" t="n"/>
      <c r="E169" s="6" t="n"/>
      <c r="F169" s="8" t="n"/>
      <c r="G169" s="8" t="n"/>
      <c r="H169" s="8" t="n"/>
      <c r="I169" s="6" t="n"/>
      <c r="J169" s="9">
        <f>IF(AND(C169&lt;&gt;"",D169&lt;&gt;""),D169-C169+1,"")</f>
        <v/>
      </c>
      <c r="K169" s="10">
        <f>IF(AND(J169&lt;&gt;"",F169&lt;&gt;""),F169/J169,"")</f>
        <v/>
      </c>
      <c r="L169" s="11">
        <f>IF(AND(E169&gt;0,F169&lt;&gt;""),F169/E169,"")</f>
        <v/>
      </c>
      <c r="M169" s="6" t="n"/>
    </row>
    <row r="170">
      <c r="A170" s="6" t="n"/>
      <c r="B170" s="6" t="n"/>
      <c r="C170" s="7" t="n"/>
      <c r="D170" s="7" t="n"/>
      <c r="E170" s="6" t="n"/>
      <c r="F170" s="8" t="n"/>
      <c r="G170" s="8" t="n"/>
      <c r="H170" s="8" t="n"/>
      <c r="I170" s="6" t="n"/>
      <c r="J170" s="9">
        <f>IF(AND(C170&lt;&gt;"",D170&lt;&gt;""),D170-C170+1,"")</f>
        <v/>
      </c>
      <c r="K170" s="10">
        <f>IF(AND(J170&lt;&gt;"",F170&lt;&gt;""),F170/J170,"")</f>
        <v/>
      </c>
      <c r="L170" s="11">
        <f>IF(AND(E170&gt;0,F170&lt;&gt;""),F170/E170,"")</f>
        <v/>
      </c>
      <c r="M170" s="6" t="n"/>
    </row>
    <row r="171">
      <c r="A171" s="6" t="n"/>
      <c r="B171" s="6" t="n"/>
      <c r="C171" s="7" t="n"/>
      <c r="D171" s="7" t="n"/>
      <c r="E171" s="6" t="n"/>
      <c r="F171" s="8" t="n"/>
      <c r="G171" s="8" t="n"/>
      <c r="H171" s="8" t="n"/>
      <c r="I171" s="6" t="n"/>
      <c r="J171" s="9">
        <f>IF(AND(C171&lt;&gt;"",D171&lt;&gt;""),D171-C171+1,"")</f>
        <v/>
      </c>
      <c r="K171" s="10">
        <f>IF(AND(J171&lt;&gt;"",F171&lt;&gt;""),F171/J171,"")</f>
        <v/>
      </c>
      <c r="L171" s="11">
        <f>IF(AND(E171&gt;0,F171&lt;&gt;""),F171/E171,"")</f>
        <v/>
      </c>
      <c r="M171" s="6" t="n"/>
    </row>
    <row r="172">
      <c r="A172" s="6" t="n"/>
      <c r="B172" s="6" t="n"/>
      <c r="C172" s="7" t="n"/>
      <c r="D172" s="7" t="n"/>
      <c r="E172" s="6" t="n"/>
      <c r="F172" s="8" t="n"/>
      <c r="G172" s="8" t="n"/>
      <c r="H172" s="8" t="n"/>
      <c r="I172" s="6" t="n"/>
      <c r="J172" s="9">
        <f>IF(AND(C172&lt;&gt;"",D172&lt;&gt;""),D172-C172+1,"")</f>
        <v/>
      </c>
      <c r="K172" s="10">
        <f>IF(AND(J172&lt;&gt;"",F172&lt;&gt;""),F172/J172,"")</f>
        <v/>
      </c>
      <c r="L172" s="11">
        <f>IF(AND(E172&gt;0,F172&lt;&gt;""),F172/E172,"")</f>
        <v/>
      </c>
      <c r="M172" s="6" t="n"/>
    </row>
    <row r="173">
      <c r="A173" s="6" t="n"/>
      <c r="B173" s="6" t="n"/>
      <c r="C173" s="7" t="n"/>
      <c r="D173" s="7" t="n"/>
      <c r="E173" s="6" t="n"/>
      <c r="F173" s="8" t="n"/>
      <c r="G173" s="8" t="n"/>
      <c r="H173" s="8" t="n"/>
      <c r="I173" s="6" t="n"/>
      <c r="J173" s="9">
        <f>IF(AND(C173&lt;&gt;"",D173&lt;&gt;""),D173-C173+1,"")</f>
        <v/>
      </c>
      <c r="K173" s="10">
        <f>IF(AND(J173&lt;&gt;"",F173&lt;&gt;""),F173/J173,"")</f>
        <v/>
      </c>
      <c r="L173" s="11">
        <f>IF(AND(E173&gt;0,F173&lt;&gt;""),F173/E173,"")</f>
        <v/>
      </c>
      <c r="M173" s="6" t="n"/>
    </row>
    <row r="174">
      <c r="A174" s="6" t="n"/>
      <c r="B174" s="6" t="n"/>
      <c r="C174" s="7" t="n"/>
      <c r="D174" s="7" t="n"/>
      <c r="E174" s="6" t="n"/>
      <c r="F174" s="8" t="n"/>
      <c r="G174" s="8" t="n"/>
      <c r="H174" s="8" t="n"/>
      <c r="I174" s="6" t="n"/>
      <c r="J174" s="9">
        <f>IF(AND(C174&lt;&gt;"",D174&lt;&gt;""),D174-C174+1,"")</f>
        <v/>
      </c>
      <c r="K174" s="10">
        <f>IF(AND(J174&lt;&gt;"",F174&lt;&gt;""),F174/J174,"")</f>
        <v/>
      </c>
      <c r="L174" s="11">
        <f>IF(AND(E174&gt;0,F174&lt;&gt;""),F174/E174,"")</f>
        <v/>
      </c>
      <c r="M174" s="6" t="n"/>
    </row>
    <row r="175">
      <c r="A175" s="6" t="n"/>
      <c r="B175" s="6" t="n"/>
      <c r="C175" s="7" t="n"/>
      <c r="D175" s="7" t="n"/>
      <c r="E175" s="6" t="n"/>
      <c r="F175" s="8" t="n"/>
      <c r="G175" s="8" t="n"/>
      <c r="H175" s="8" t="n"/>
      <c r="I175" s="6" t="n"/>
      <c r="J175" s="9">
        <f>IF(AND(C175&lt;&gt;"",D175&lt;&gt;""),D175-C175+1,"")</f>
        <v/>
      </c>
      <c r="K175" s="10">
        <f>IF(AND(J175&lt;&gt;"",F175&lt;&gt;""),F175/J175,"")</f>
        <v/>
      </c>
      <c r="L175" s="11">
        <f>IF(AND(E175&gt;0,F175&lt;&gt;""),F175/E175,"")</f>
        <v/>
      </c>
      <c r="M175" s="6" t="n"/>
    </row>
    <row r="176">
      <c r="A176" s="6" t="n"/>
      <c r="B176" s="6" t="n"/>
      <c r="C176" s="7" t="n"/>
      <c r="D176" s="7" t="n"/>
      <c r="E176" s="6" t="n"/>
      <c r="F176" s="8" t="n"/>
      <c r="G176" s="8" t="n"/>
      <c r="H176" s="8" t="n"/>
      <c r="I176" s="6" t="n"/>
      <c r="J176" s="9">
        <f>IF(AND(C176&lt;&gt;"",D176&lt;&gt;""),D176-C176+1,"")</f>
        <v/>
      </c>
      <c r="K176" s="10">
        <f>IF(AND(J176&lt;&gt;"",F176&lt;&gt;""),F176/J176,"")</f>
        <v/>
      </c>
      <c r="L176" s="11">
        <f>IF(AND(E176&gt;0,F176&lt;&gt;""),F176/E176,"")</f>
        <v/>
      </c>
      <c r="M176" s="6" t="n"/>
    </row>
    <row r="177">
      <c r="A177" s="6" t="n"/>
      <c r="B177" s="6" t="n"/>
      <c r="C177" s="7" t="n"/>
      <c r="D177" s="7" t="n"/>
      <c r="E177" s="6" t="n"/>
      <c r="F177" s="8" t="n"/>
      <c r="G177" s="8" t="n"/>
      <c r="H177" s="8" t="n"/>
      <c r="I177" s="6" t="n"/>
      <c r="J177" s="9">
        <f>IF(AND(C177&lt;&gt;"",D177&lt;&gt;""),D177-C177+1,"")</f>
        <v/>
      </c>
      <c r="K177" s="10">
        <f>IF(AND(J177&lt;&gt;"",F177&lt;&gt;""),F177/J177,"")</f>
        <v/>
      </c>
      <c r="L177" s="11">
        <f>IF(AND(E177&gt;0,F177&lt;&gt;""),F177/E177,"")</f>
        <v/>
      </c>
      <c r="M177" s="6" t="n"/>
    </row>
    <row r="178">
      <c r="A178" s="6" t="n"/>
      <c r="B178" s="6" t="n"/>
      <c r="C178" s="7" t="n"/>
      <c r="D178" s="7" t="n"/>
      <c r="E178" s="6" t="n"/>
      <c r="F178" s="8" t="n"/>
      <c r="G178" s="8" t="n"/>
      <c r="H178" s="8" t="n"/>
      <c r="I178" s="6" t="n"/>
      <c r="J178" s="9">
        <f>IF(AND(C178&lt;&gt;"",D178&lt;&gt;""),D178-C178+1,"")</f>
        <v/>
      </c>
      <c r="K178" s="10">
        <f>IF(AND(J178&lt;&gt;"",F178&lt;&gt;""),F178/J178,"")</f>
        <v/>
      </c>
      <c r="L178" s="11">
        <f>IF(AND(E178&gt;0,F178&lt;&gt;""),F178/E178,"")</f>
        <v/>
      </c>
      <c r="M178" s="6" t="n"/>
    </row>
    <row r="179">
      <c r="A179" s="6" t="n"/>
      <c r="B179" s="6" t="n"/>
      <c r="C179" s="7" t="n"/>
      <c r="D179" s="7" t="n"/>
      <c r="E179" s="6" t="n"/>
      <c r="F179" s="8" t="n"/>
      <c r="G179" s="8" t="n"/>
      <c r="H179" s="8" t="n"/>
      <c r="I179" s="6" t="n"/>
      <c r="J179" s="9">
        <f>IF(AND(C179&lt;&gt;"",D179&lt;&gt;""),D179-C179+1,"")</f>
        <v/>
      </c>
      <c r="K179" s="10">
        <f>IF(AND(J179&lt;&gt;"",F179&lt;&gt;""),F179/J179,"")</f>
        <v/>
      </c>
      <c r="L179" s="11">
        <f>IF(AND(E179&gt;0,F179&lt;&gt;""),F179/E179,"")</f>
        <v/>
      </c>
      <c r="M179" s="6" t="n"/>
    </row>
    <row r="180">
      <c r="A180" s="6" t="n"/>
      <c r="B180" s="6" t="n"/>
      <c r="C180" s="7" t="n"/>
      <c r="D180" s="7" t="n"/>
      <c r="E180" s="6" t="n"/>
      <c r="F180" s="8" t="n"/>
      <c r="G180" s="8" t="n"/>
      <c r="H180" s="8" t="n"/>
      <c r="I180" s="6" t="n"/>
      <c r="J180" s="9">
        <f>IF(AND(C180&lt;&gt;"",D180&lt;&gt;""),D180-C180+1,"")</f>
        <v/>
      </c>
      <c r="K180" s="10">
        <f>IF(AND(J180&lt;&gt;"",F180&lt;&gt;""),F180/J180,"")</f>
        <v/>
      </c>
      <c r="L180" s="11">
        <f>IF(AND(E180&gt;0,F180&lt;&gt;""),F180/E180,"")</f>
        <v/>
      </c>
      <c r="M180" s="6" t="n"/>
    </row>
    <row r="181">
      <c r="A181" s="6" t="n"/>
      <c r="B181" s="6" t="n"/>
      <c r="C181" s="7" t="n"/>
      <c r="D181" s="7" t="n"/>
      <c r="E181" s="6" t="n"/>
      <c r="F181" s="8" t="n"/>
      <c r="G181" s="8" t="n"/>
      <c r="H181" s="8" t="n"/>
      <c r="I181" s="6" t="n"/>
      <c r="J181" s="9">
        <f>IF(AND(C181&lt;&gt;"",D181&lt;&gt;""),D181-C181+1,"")</f>
        <v/>
      </c>
      <c r="K181" s="10">
        <f>IF(AND(J181&lt;&gt;"",F181&lt;&gt;""),F181/J181,"")</f>
        <v/>
      </c>
      <c r="L181" s="11">
        <f>IF(AND(E181&gt;0,F181&lt;&gt;""),F181/E181,"")</f>
        <v/>
      </c>
      <c r="M181" s="6" t="n"/>
    </row>
    <row r="182">
      <c r="A182" s="6" t="n"/>
      <c r="B182" s="6" t="n"/>
      <c r="C182" s="7" t="n"/>
      <c r="D182" s="7" t="n"/>
      <c r="E182" s="6" t="n"/>
      <c r="F182" s="8" t="n"/>
      <c r="G182" s="8" t="n"/>
      <c r="H182" s="8" t="n"/>
      <c r="I182" s="6" t="n"/>
      <c r="J182" s="9">
        <f>IF(AND(C182&lt;&gt;"",D182&lt;&gt;""),D182-C182+1,"")</f>
        <v/>
      </c>
      <c r="K182" s="10">
        <f>IF(AND(J182&lt;&gt;"",F182&lt;&gt;""),F182/J182,"")</f>
        <v/>
      </c>
      <c r="L182" s="11">
        <f>IF(AND(E182&gt;0,F182&lt;&gt;""),F182/E182,"")</f>
        <v/>
      </c>
      <c r="M182" s="6" t="n"/>
    </row>
    <row r="183">
      <c r="A183" s="6" t="n"/>
      <c r="B183" s="6" t="n"/>
      <c r="C183" s="7" t="n"/>
      <c r="D183" s="7" t="n"/>
      <c r="E183" s="6" t="n"/>
      <c r="F183" s="8" t="n"/>
      <c r="G183" s="8" t="n"/>
      <c r="H183" s="8" t="n"/>
      <c r="I183" s="6" t="n"/>
      <c r="J183" s="9">
        <f>IF(AND(C183&lt;&gt;"",D183&lt;&gt;""),D183-C183+1,"")</f>
        <v/>
      </c>
      <c r="K183" s="10">
        <f>IF(AND(J183&lt;&gt;"",F183&lt;&gt;""),F183/J183,"")</f>
        <v/>
      </c>
      <c r="L183" s="11">
        <f>IF(AND(E183&gt;0,F183&lt;&gt;""),F183/E183,"")</f>
        <v/>
      </c>
      <c r="M183" s="6" t="n"/>
    </row>
    <row r="184">
      <c r="A184" s="6" t="n"/>
      <c r="B184" s="6" t="n"/>
      <c r="C184" s="7" t="n"/>
      <c r="D184" s="7" t="n"/>
      <c r="E184" s="6" t="n"/>
      <c r="F184" s="8" t="n"/>
      <c r="G184" s="8" t="n"/>
      <c r="H184" s="8" t="n"/>
      <c r="I184" s="6" t="n"/>
      <c r="J184" s="9">
        <f>IF(AND(C184&lt;&gt;"",D184&lt;&gt;""),D184-C184+1,"")</f>
        <v/>
      </c>
      <c r="K184" s="10">
        <f>IF(AND(J184&lt;&gt;"",F184&lt;&gt;""),F184/J184,"")</f>
        <v/>
      </c>
      <c r="L184" s="11">
        <f>IF(AND(E184&gt;0,F184&lt;&gt;""),F184/E184,"")</f>
        <v/>
      </c>
      <c r="M184" s="6" t="n"/>
    </row>
    <row r="185">
      <c r="A185" s="6" t="n"/>
      <c r="B185" s="6" t="n"/>
      <c r="C185" s="7" t="n"/>
      <c r="D185" s="7" t="n"/>
      <c r="E185" s="6" t="n"/>
      <c r="F185" s="8" t="n"/>
      <c r="G185" s="8" t="n"/>
      <c r="H185" s="8" t="n"/>
      <c r="I185" s="6" t="n"/>
      <c r="J185" s="9">
        <f>IF(AND(C185&lt;&gt;"",D185&lt;&gt;""),D185-C185+1,"")</f>
        <v/>
      </c>
      <c r="K185" s="10">
        <f>IF(AND(J185&lt;&gt;"",F185&lt;&gt;""),F185/J185,"")</f>
        <v/>
      </c>
      <c r="L185" s="11">
        <f>IF(AND(E185&gt;0,F185&lt;&gt;""),F185/E185,"")</f>
        <v/>
      </c>
      <c r="M185" s="6" t="n"/>
    </row>
    <row r="186">
      <c r="A186" s="6" t="n"/>
      <c r="B186" s="6" t="n"/>
      <c r="C186" s="7" t="n"/>
      <c r="D186" s="7" t="n"/>
      <c r="E186" s="6" t="n"/>
      <c r="F186" s="8" t="n"/>
      <c r="G186" s="8" t="n"/>
      <c r="H186" s="8" t="n"/>
      <c r="I186" s="6" t="n"/>
      <c r="J186" s="9">
        <f>IF(AND(C186&lt;&gt;"",D186&lt;&gt;""),D186-C186+1,"")</f>
        <v/>
      </c>
      <c r="K186" s="10">
        <f>IF(AND(J186&lt;&gt;"",F186&lt;&gt;""),F186/J186,"")</f>
        <v/>
      </c>
      <c r="L186" s="11">
        <f>IF(AND(E186&gt;0,F186&lt;&gt;""),F186/E186,"")</f>
        <v/>
      </c>
      <c r="M186" s="6" t="n"/>
    </row>
    <row r="187">
      <c r="A187" s="6" t="n"/>
      <c r="B187" s="6" t="n"/>
      <c r="C187" s="7" t="n"/>
      <c r="D187" s="7" t="n"/>
      <c r="E187" s="6" t="n"/>
      <c r="F187" s="8" t="n"/>
      <c r="G187" s="8" t="n"/>
      <c r="H187" s="8" t="n"/>
      <c r="I187" s="6" t="n"/>
      <c r="J187" s="9">
        <f>IF(AND(C187&lt;&gt;"",D187&lt;&gt;""),D187-C187+1,"")</f>
        <v/>
      </c>
      <c r="K187" s="10">
        <f>IF(AND(J187&lt;&gt;"",F187&lt;&gt;""),F187/J187,"")</f>
        <v/>
      </c>
      <c r="L187" s="11">
        <f>IF(AND(E187&gt;0,F187&lt;&gt;""),F187/E187,"")</f>
        <v/>
      </c>
      <c r="M187" s="6" t="n"/>
    </row>
    <row r="188">
      <c r="A188" s="6" t="n"/>
      <c r="B188" s="6" t="n"/>
      <c r="C188" s="7" t="n"/>
      <c r="D188" s="7" t="n"/>
      <c r="E188" s="6" t="n"/>
      <c r="F188" s="8" t="n"/>
      <c r="G188" s="8" t="n"/>
      <c r="H188" s="8" t="n"/>
      <c r="I188" s="6" t="n"/>
      <c r="J188" s="9">
        <f>IF(AND(C188&lt;&gt;"",D188&lt;&gt;""),D188-C188+1,"")</f>
        <v/>
      </c>
      <c r="K188" s="10">
        <f>IF(AND(J188&lt;&gt;"",F188&lt;&gt;""),F188/J188,"")</f>
        <v/>
      </c>
      <c r="L188" s="11">
        <f>IF(AND(E188&gt;0,F188&lt;&gt;""),F188/E188,"")</f>
        <v/>
      </c>
      <c r="M188" s="6" t="n"/>
    </row>
    <row r="189">
      <c r="A189" s="6" t="n"/>
      <c r="B189" s="6" t="n"/>
      <c r="C189" s="7" t="n"/>
      <c r="D189" s="7" t="n"/>
      <c r="E189" s="6" t="n"/>
      <c r="F189" s="8" t="n"/>
      <c r="G189" s="8" t="n"/>
      <c r="H189" s="8" t="n"/>
      <c r="I189" s="6" t="n"/>
      <c r="J189" s="9">
        <f>IF(AND(C189&lt;&gt;"",D189&lt;&gt;""),D189-C189+1,"")</f>
        <v/>
      </c>
      <c r="K189" s="10">
        <f>IF(AND(J189&lt;&gt;"",F189&lt;&gt;""),F189/J189,"")</f>
        <v/>
      </c>
      <c r="L189" s="11">
        <f>IF(AND(E189&gt;0,F189&lt;&gt;""),F189/E189,"")</f>
        <v/>
      </c>
      <c r="M189" s="6" t="n"/>
    </row>
    <row r="190">
      <c r="A190" s="6" t="n"/>
      <c r="B190" s="6" t="n"/>
      <c r="C190" s="7" t="n"/>
      <c r="D190" s="7" t="n"/>
      <c r="E190" s="6" t="n"/>
      <c r="F190" s="8" t="n"/>
      <c r="G190" s="8" t="n"/>
      <c r="H190" s="8" t="n"/>
      <c r="I190" s="6" t="n"/>
      <c r="J190" s="9">
        <f>IF(AND(C190&lt;&gt;"",D190&lt;&gt;""),D190-C190+1,"")</f>
        <v/>
      </c>
      <c r="K190" s="10">
        <f>IF(AND(J190&lt;&gt;"",F190&lt;&gt;""),F190/J190,"")</f>
        <v/>
      </c>
      <c r="L190" s="11">
        <f>IF(AND(E190&gt;0,F190&lt;&gt;""),F190/E190,"")</f>
        <v/>
      </c>
      <c r="M190" s="6" t="n"/>
    </row>
    <row r="191">
      <c r="A191" s="6" t="n"/>
      <c r="B191" s="6" t="n"/>
      <c r="C191" s="7" t="n"/>
      <c r="D191" s="7" t="n"/>
      <c r="E191" s="6" t="n"/>
      <c r="F191" s="8" t="n"/>
      <c r="G191" s="8" t="n"/>
      <c r="H191" s="8" t="n"/>
      <c r="I191" s="6" t="n"/>
      <c r="J191" s="9">
        <f>IF(AND(C191&lt;&gt;"",D191&lt;&gt;""),D191-C191+1,"")</f>
        <v/>
      </c>
      <c r="K191" s="10">
        <f>IF(AND(J191&lt;&gt;"",F191&lt;&gt;""),F191/J191,"")</f>
        <v/>
      </c>
      <c r="L191" s="11">
        <f>IF(AND(E191&gt;0,F191&lt;&gt;""),F191/E191,"")</f>
        <v/>
      </c>
      <c r="M191" s="6" t="n"/>
    </row>
    <row r="192">
      <c r="A192" s="6" t="n"/>
      <c r="B192" s="6" t="n"/>
      <c r="C192" s="7" t="n"/>
      <c r="D192" s="7" t="n"/>
      <c r="E192" s="6" t="n"/>
      <c r="F192" s="8" t="n"/>
      <c r="G192" s="8" t="n"/>
      <c r="H192" s="8" t="n"/>
      <c r="I192" s="6" t="n"/>
      <c r="J192" s="9">
        <f>IF(AND(C192&lt;&gt;"",D192&lt;&gt;""),D192-C192+1,"")</f>
        <v/>
      </c>
      <c r="K192" s="10">
        <f>IF(AND(J192&lt;&gt;"",F192&lt;&gt;""),F192/J192,"")</f>
        <v/>
      </c>
      <c r="L192" s="11">
        <f>IF(AND(E192&gt;0,F192&lt;&gt;""),F192/E192,"")</f>
        <v/>
      </c>
      <c r="M192" s="6" t="n"/>
    </row>
    <row r="193">
      <c r="A193" s="6" t="n"/>
      <c r="B193" s="6" t="n"/>
      <c r="C193" s="7" t="n"/>
      <c r="D193" s="7" t="n"/>
      <c r="E193" s="6" t="n"/>
      <c r="F193" s="8" t="n"/>
      <c r="G193" s="8" t="n"/>
      <c r="H193" s="8" t="n"/>
      <c r="I193" s="6" t="n"/>
      <c r="J193" s="9">
        <f>IF(AND(C193&lt;&gt;"",D193&lt;&gt;""),D193-C193+1,"")</f>
        <v/>
      </c>
      <c r="K193" s="10">
        <f>IF(AND(J193&lt;&gt;"",F193&lt;&gt;""),F193/J193,"")</f>
        <v/>
      </c>
      <c r="L193" s="11">
        <f>IF(AND(E193&gt;0,F193&lt;&gt;""),F193/E193,"")</f>
        <v/>
      </c>
      <c r="M193" s="6" t="n"/>
    </row>
    <row r="194">
      <c r="A194" s="6" t="n"/>
      <c r="B194" s="6" t="n"/>
      <c r="C194" s="7" t="n"/>
      <c r="D194" s="7" t="n"/>
      <c r="E194" s="6" t="n"/>
      <c r="F194" s="8" t="n"/>
      <c r="G194" s="8" t="n"/>
      <c r="H194" s="8" t="n"/>
      <c r="I194" s="6" t="n"/>
      <c r="J194" s="9">
        <f>IF(AND(C194&lt;&gt;"",D194&lt;&gt;""),D194-C194+1,"")</f>
        <v/>
      </c>
      <c r="K194" s="10">
        <f>IF(AND(J194&lt;&gt;"",F194&lt;&gt;""),F194/J194,"")</f>
        <v/>
      </c>
      <c r="L194" s="11">
        <f>IF(AND(E194&gt;0,F194&lt;&gt;""),F194/E194,"")</f>
        <v/>
      </c>
      <c r="M194" s="6" t="n"/>
    </row>
    <row r="195">
      <c r="A195" s="6" t="n"/>
      <c r="B195" s="6" t="n"/>
      <c r="C195" s="7" t="n"/>
      <c r="D195" s="7" t="n"/>
      <c r="E195" s="6" t="n"/>
      <c r="F195" s="8" t="n"/>
      <c r="G195" s="8" t="n"/>
      <c r="H195" s="8" t="n"/>
      <c r="I195" s="6" t="n"/>
      <c r="J195" s="9">
        <f>IF(AND(C195&lt;&gt;"",D195&lt;&gt;""),D195-C195+1,"")</f>
        <v/>
      </c>
      <c r="K195" s="10">
        <f>IF(AND(J195&lt;&gt;"",F195&lt;&gt;""),F195/J195,"")</f>
        <v/>
      </c>
      <c r="L195" s="11">
        <f>IF(AND(E195&gt;0,F195&lt;&gt;""),F195/E195,"")</f>
        <v/>
      </c>
      <c r="M195" s="6" t="n"/>
    </row>
    <row r="196">
      <c r="A196" s="6" t="n"/>
      <c r="B196" s="6" t="n"/>
      <c r="C196" s="7" t="n"/>
      <c r="D196" s="7" t="n"/>
      <c r="E196" s="6" t="n"/>
      <c r="F196" s="8" t="n"/>
      <c r="G196" s="8" t="n"/>
      <c r="H196" s="8" t="n"/>
      <c r="I196" s="6" t="n"/>
      <c r="J196" s="9">
        <f>IF(AND(C196&lt;&gt;"",D196&lt;&gt;""),D196-C196+1,"")</f>
        <v/>
      </c>
      <c r="K196" s="10">
        <f>IF(AND(J196&lt;&gt;"",F196&lt;&gt;""),F196/J196,"")</f>
        <v/>
      </c>
      <c r="L196" s="11">
        <f>IF(AND(E196&gt;0,F196&lt;&gt;""),F196/E196,"")</f>
        <v/>
      </c>
      <c r="M196" s="6" t="n"/>
    </row>
    <row r="197">
      <c r="A197" s="6" t="n"/>
      <c r="B197" s="6" t="n"/>
      <c r="C197" s="7" t="n"/>
      <c r="D197" s="7" t="n"/>
      <c r="E197" s="6" t="n"/>
      <c r="F197" s="8" t="n"/>
      <c r="G197" s="8" t="n"/>
      <c r="H197" s="8" t="n"/>
      <c r="I197" s="6" t="n"/>
      <c r="J197" s="9">
        <f>IF(AND(C197&lt;&gt;"",D197&lt;&gt;""),D197-C197+1,"")</f>
        <v/>
      </c>
      <c r="K197" s="10">
        <f>IF(AND(J197&lt;&gt;"",F197&lt;&gt;""),F197/J197,"")</f>
        <v/>
      </c>
      <c r="L197" s="11">
        <f>IF(AND(E197&gt;0,F197&lt;&gt;""),F197/E197,"")</f>
        <v/>
      </c>
      <c r="M197" s="6" t="n"/>
    </row>
    <row r="198">
      <c r="A198" s="6" t="n"/>
      <c r="B198" s="6" t="n"/>
      <c r="C198" s="7" t="n"/>
      <c r="D198" s="7" t="n"/>
      <c r="E198" s="6" t="n"/>
      <c r="F198" s="8" t="n"/>
      <c r="G198" s="8" t="n"/>
      <c r="H198" s="8" t="n"/>
      <c r="I198" s="6" t="n"/>
      <c r="J198" s="9">
        <f>IF(AND(C198&lt;&gt;"",D198&lt;&gt;""),D198-C198+1,"")</f>
        <v/>
      </c>
      <c r="K198" s="10">
        <f>IF(AND(J198&lt;&gt;"",F198&lt;&gt;""),F198/J198,"")</f>
        <v/>
      </c>
      <c r="L198" s="11">
        <f>IF(AND(E198&gt;0,F198&lt;&gt;""),F198/E198,"")</f>
        <v/>
      </c>
      <c r="M198" s="6" t="n"/>
    </row>
    <row r="199">
      <c r="A199" s="6" t="n"/>
      <c r="B199" s="6" t="n"/>
      <c r="C199" s="7" t="n"/>
      <c r="D199" s="7" t="n"/>
      <c r="E199" s="6" t="n"/>
      <c r="F199" s="8" t="n"/>
      <c r="G199" s="8" t="n"/>
      <c r="H199" s="8" t="n"/>
      <c r="I199" s="6" t="n"/>
      <c r="J199" s="9">
        <f>IF(AND(C199&lt;&gt;"",D199&lt;&gt;""),D199-C199+1,"")</f>
        <v/>
      </c>
      <c r="K199" s="10">
        <f>IF(AND(J199&lt;&gt;"",F199&lt;&gt;""),F199/J199,"")</f>
        <v/>
      </c>
      <c r="L199" s="11">
        <f>IF(AND(E199&gt;0,F199&lt;&gt;""),F199/E199,"")</f>
        <v/>
      </c>
      <c r="M199" s="6" t="n"/>
    </row>
    <row r="200">
      <c r="A200" s="6" t="n"/>
      <c r="B200" s="6" t="n"/>
      <c r="C200" s="7" t="n"/>
      <c r="D200" s="7" t="n"/>
      <c r="E200" s="6" t="n"/>
      <c r="F200" s="8" t="n"/>
      <c r="G200" s="8" t="n"/>
      <c r="H200" s="8" t="n"/>
      <c r="I200" s="6" t="n"/>
      <c r="J200" s="9">
        <f>IF(AND(C200&lt;&gt;"",D200&lt;&gt;""),D200-C200+1,"")</f>
        <v/>
      </c>
      <c r="K200" s="10">
        <f>IF(AND(J200&lt;&gt;"",F200&lt;&gt;""),F200/J200,"")</f>
        <v/>
      </c>
      <c r="L200" s="11">
        <f>IF(AND(E200&gt;0,F200&lt;&gt;""),F200/E200,"")</f>
        <v/>
      </c>
      <c r="M200" s="6" t="n"/>
    </row>
    <row r="201">
      <c r="A201" s="6" t="n"/>
      <c r="B201" s="6" t="n"/>
      <c r="C201" s="7" t="n"/>
      <c r="D201" s="7" t="n"/>
      <c r="E201" s="6" t="n"/>
      <c r="F201" s="8" t="n"/>
      <c r="G201" s="8" t="n"/>
      <c r="H201" s="8" t="n"/>
      <c r="I201" s="6" t="n"/>
      <c r="J201" s="9">
        <f>IF(AND(C201&lt;&gt;"",D201&lt;&gt;""),D201-C201+1,"")</f>
        <v/>
      </c>
      <c r="K201" s="10">
        <f>IF(AND(J201&lt;&gt;"",F201&lt;&gt;""),F201/J201,"")</f>
        <v/>
      </c>
      <c r="L201" s="11">
        <f>IF(AND(E201&gt;0,F201&lt;&gt;""),F201/E201,"")</f>
        <v/>
      </c>
      <c r="M201" s="6" t="n"/>
    </row>
  </sheetData>
  <conditionalFormatting sqref="I2:I201">
    <cfRule type="expression" priority="1" dxfId="0">
      <formula>$I2="Stimata"</formula>
    </cfRule>
  </conditionalFormatting>
  <dataValidations count="2">
    <dataValidation sqref="A2:A201" showDropDown="0" showInputMessage="0" showErrorMessage="0" allowBlank="1" type="list">
      <formula1>"Luce,Gas"</formula1>
    </dataValidation>
    <dataValidation sqref="I2:I201" showDropDown="0" showInputMessage="0" showErrorMessage="0" allowBlank="1" type="list">
      <formula1>"Reale,Stimata"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2B33D"/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12" t="inlineStr">
        <is>
          <t>Riepilogo annuale</t>
        </is>
      </c>
    </row>
    <row r="2">
      <c r="A2" t="inlineStr">
        <is>
          <t>Anno (data di fine periodo):</t>
        </is>
      </c>
      <c r="B2" s="13" t="n">
        <v>2026</v>
      </c>
    </row>
    <row r="4">
      <c r="A4" s="5" t="inlineStr">
        <is>
          <t>Voce</t>
        </is>
      </c>
      <c r="B4" s="5" t="inlineStr">
        <is>
          <t>Luce</t>
        </is>
      </c>
      <c r="C4" s="5" t="inlineStr">
        <is>
          <t>Gas</t>
        </is>
      </c>
    </row>
    <row r="5">
      <c r="A5" s="9" t="inlineStr">
        <is>
          <t>Spesa totale €</t>
        </is>
      </c>
      <c r="B5" s="10">
        <f>SUMIFS(Bollette!$F$2:$F$201,Bollette!$A$2:$A$201,"Luce",Bollette!$D$2:$D$201,"&gt;="&amp;DATE($B$2,1,1),Bollette!$D$2:$D$201,"&lt;="&amp;DATE($B$2,12,31))</f>
        <v/>
      </c>
      <c r="C5" s="10">
        <f>SUMIFS(Bollette!$F$2:$F$201,Bollette!$A$2:$A$201,"Gas",Bollette!$D$2:$D$201,"&gt;="&amp;DATE($B$2,1,1),Bollette!$D$2:$D$201,"&lt;="&amp;DATE($B$2,12,31))</f>
        <v/>
      </c>
    </row>
    <row r="6">
      <c r="A6" s="9" t="inlineStr">
        <is>
          <t>Consumo (kWh / Smc)</t>
        </is>
      </c>
      <c r="B6" s="14">
        <f>SUMIFS(Bollette!$E$2:$E$201,Bollette!$A$2:$A$201,"Luce",Bollette!$D$2:$D$201,"&gt;="&amp;DATE($B$2,1,1),Bollette!$D$2:$D$201,"&lt;="&amp;DATE($B$2,12,31))</f>
        <v/>
      </c>
      <c r="C6" s="14">
        <f>SUMIFS(Bollette!$E$2:$E$201,Bollette!$A$2:$A$201,"Gas",Bollette!$D$2:$D$201,"&gt;="&amp;DATE($B$2,1,1),Bollette!$D$2:$D$201,"&lt;="&amp;DATE($B$2,12,31))</f>
        <v/>
      </c>
    </row>
    <row r="7">
      <c r="A7" s="9" t="inlineStr">
        <is>
          <t>di cui materia energia €</t>
        </is>
      </c>
      <c r="B7" s="10">
        <f>SUMIFS(Bollette!$G$2:$G$201,Bollette!$A$2:$A$201,"Luce",Bollette!$D$2:$D$201,"&gt;="&amp;DATE($B$2,1,1),Bollette!$D$2:$D$201,"&lt;="&amp;DATE($B$2,12,31))</f>
        <v/>
      </c>
      <c r="C7" s="10">
        <f>SUMIFS(Bollette!$G$2:$G$201,Bollette!$A$2:$A$201,"Gas",Bollette!$D$2:$D$201,"&gt;="&amp;DATE($B$2,1,1),Bollette!$D$2:$D$201,"&lt;="&amp;DATE($B$2,12,31))</f>
        <v/>
      </c>
    </row>
    <row r="8">
      <c r="A8" s="9" t="inlineStr">
        <is>
          <t>di cui quota fissa €</t>
        </is>
      </c>
      <c r="B8" s="10">
        <f>SUMIFS(Bollette!$H$2:$H$201,Bollette!$A$2:$A$201,"Luce",Bollette!$D$2:$D$201,"&gt;="&amp;DATE($B$2,1,1),Bollette!$D$2:$D$201,"&lt;="&amp;DATE($B$2,12,31))</f>
        <v/>
      </c>
      <c r="C8" s="10">
        <f>SUMIFS(Bollette!$H$2:$H$201,Bollette!$A$2:$A$201,"Gas",Bollette!$D$2:$D$201,"&gt;="&amp;DATE($B$2,1,1),Bollette!$D$2:$D$201,"&lt;="&amp;DATE($B$2,12,31))</f>
        <v/>
      </c>
    </row>
    <row r="9">
      <c r="A9" s="9" t="inlineStr">
        <is>
          <t>Giorni fatturati</t>
        </is>
      </c>
      <c r="B9" s="15">
        <f>SUMIFS(Bollette!$J$2:$J$201,Bollette!$A$2:$A$201,"Luce",Bollette!$D$2:$D$201,"&gt;="&amp;DATE($B$2,1,1),Bollette!$D$2:$D$201,"&lt;="&amp;DATE($B$2,12,31))</f>
        <v/>
      </c>
      <c r="C9" s="15">
        <f>SUMIFS(Bollette!$J$2:$J$201,Bollette!$A$2:$A$201,"Gas",Bollette!$D$2:$D$201,"&gt;="&amp;DATE($B$2,1,1),Bollette!$D$2:$D$201,"&lt;="&amp;DATE($B$2,12,31))</f>
        <v/>
      </c>
    </row>
    <row r="10">
      <c r="A10" s="9" t="inlineStr">
        <is>
          <t>Costo medio tutto incluso (€/unita')</t>
        </is>
      </c>
      <c r="B10" s="11">
        <f>IF(B6&gt;0,B5/B6,"")</f>
        <v/>
      </c>
      <c r="C10" s="11">
        <f>IF(C6&gt;0,C5/C6,"")</f>
        <v/>
      </c>
    </row>
    <row r="11">
      <c r="A11" s="9" t="inlineStr">
        <is>
          <t>Consumo annuo stimato (scala a 365 gg)</t>
        </is>
      </c>
      <c r="B11" s="14">
        <f>IF(B9&gt;0,B6*365/B9,"")</f>
        <v/>
      </c>
      <c r="C11" s="14">
        <f>IF(C9&gt;0,C6*365/C9,"")</f>
        <v/>
      </c>
    </row>
    <row r="12">
      <c r="A12" s="9" t="inlineStr">
        <is>
          <t>Spesa annua stimata € (scala a 365 gg)</t>
        </is>
      </c>
      <c r="B12" s="10">
        <f>IF(B9&gt;0,B5*365/B9,"")</f>
        <v/>
      </c>
      <c r="C12" s="10">
        <f>IF(C9&gt;0,C5*365/C9,"")</f>
        <v/>
      </c>
    </row>
    <row r="14">
      <c r="A14" s="16" t="inlineStr">
        <is>
          <t>Le stime annue proiettano i giorni fatturati su 365: piu' bollette inserisci, piu' sono affidabili (attenzione alla stagionalita' del gas).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F2B33D"/>
    <outlinePr summaryBelow="1" summaryRight="1"/>
    <pageSetUpPr/>
  </sheetPr>
  <dimension ref="A1:I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6" customWidth="1" min="4" max="4"/>
    <col width="15" customWidth="1" min="5" max="5"/>
    <col width="16" customWidth="1" min="6" max="6"/>
    <col width="16" customWidth="1" min="7" max="7"/>
    <col width="9" customWidth="1" min="8" max="8"/>
    <col width="36" customWidth="1" min="9" max="9"/>
  </cols>
  <sheetData>
    <row r="1">
      <c r="A1" s="12" t="inlineStr">
        <is>
          <t>Confronto offerte (materia energia + commercializzazione)</t>
        </is>
      </c>
    </row>
    <row r="2">
      <c r="A2" t="inlineStr">
        <is>
          <t>Consumo annuo luce (kWh):</t>
        </is>
      </c>
      <c r="C2" s="17">
        <f>IF(ISNUMBER(Riepilogo!B11),ROUND(Riepilogo!B11,0),2700)</f>
        <v/>
      </c>
      <c r="E2" s="16" t="inlineStr">
        <is>
          <t>Preso dal Riepilogo; se vuoto usa 2.700 kWh / 1.000 Smc. Puoi sovrascrivere.</t>
        </is>
      </c>
    </row>
    <row r="3">
      <c r="A3" t="inlineStr">
        <is>
          <t>Consumo annuo gas (Smc):</t>
        </is>
      </c>
      <c r="C3" s="17">
        <f>IF(ISNUMBER(Riepilogo!C11),ROUND(Riepilogo!C11,0),1000)</f>
        <v/>
      </c>
    </row>
    <row r="5" ht="45" customHeight="1">
      <c r="A5" s="5" t="inlineStr">
        <is>
          <t>Offerta</t>
        </is>
      </c>
      <c r="B5" s="5" t="inlineStr">
        <is>
          <t>Fornitura</t>
        </is>
      </c>
      <c r="C5" s="5" t="inlineStr">
        <is>
          <t>Tipo (fisso / indicizzato)</t>
        </is>
      </c>
      <c r="D5" s="5" t="inlineStr">
        <is>
          <t>Prezzo materia (€/kWh o €/Smc)</t>
        </is>
      </c>
      <c r="E5" s="5" t="inlineStr">
        <is>
          <t>Quota fissa commerc. (€/mese)</t>
        </is>
      </c>
      <c r="F5" s="5" t="inlineStr">
        <is>
          <t>Costo annuo confrontabile €</t>
        </is>
      </c>
      <c r="G5" s="5" t="inlineStr">
        <is>
          <t>Differenza vs attuale €/anno</t>
        </is>
      </c>
      <c r="H5" s="5" t="inlineStr">
        <is>
          <t>Attuale?</t>
        </is>
      </c>
      <c r="I5" s="5" t="inlineStr">
        <is>
          <t>Note (durata prezzo, vincoli, bonus)</t>
        </is>
      </c>
    </row>
    <row r="6">
      <c r="A6" s="6" t="inlineStr">
        <is>
          <t>Attuale (esempio)</t>
        </is>
      </c>
      <c r="B6" s="6" t="inlineStr">
        <is>
          <t>Luce</t>
        </is>
      </c>
      <c r="C6" s="6" t="inlineStr">
        <is>
          <t>Fisso</t>
        </is>
      </c>
      <c r="D6" s="18" t="n">
        <v>0.135</v>
      </c>
      <c r="E6" s="8" t="n">
        <v>12</v>
      </c>
      <c r="F6" s="10">
        <f>IF(AND(B6&lt;&gt;"",D6&lt;&gt;""),IF(B6="Luce",$C$2,$C$3)*D6+E6*12,"")</f>
        <v/>
      </c>
      <c r="G6" s="19">
        <f>IF(F6="","",F6-SUMIFS($F$6:$F$35,$B$6:$B$35,B6,$H$6:$H$35,"Si"))</f>
        <v/>
      </c>
      <c r="H6" s="6" t="inlineStr">
        <is>
          <t>Si</t>
        </is>
      </c>
      <c r="I6" s="6" t="n"/>
    </row>
    <row r="7">
      <c r="A7" s="6" t="inlineStr">
        <is>
          <t>Offerta A (esempio)</t>
        </is>
      </c>
      <c r="B7" s="6" t="inlineStr">
        <is>
          <t>Luce</t>
        </is>
      </c>
      <c r="C7" s="6" t="inlineStr">
        <is>
          <t>Indicizzato</t>
        </is>
      </c>
      <c r="D7" s="18" t="n">
        <v>0.118</v>
      </c>
      <c r="E7" s="8" t="n">
        <v>10</v>
      </c>
      <c r="F7" s="10">
        <f>IF(AND(B7&lt;&gt;"",D7&lt;&gt;""),IF(B7="Luce",$C$2,$C$3)*D7+E7*12,"")</f>
        <v/>
      </c>
      <c r="G7" s="19">
        <f>IF(F7="","",F7-SUMIFS($F$6:$F$35,$B$6:$B$35,B7,$H$6:$H$35,"Si"))</f>
        <v/>
      </c>
      <c r="H7" s="6" t="n"/>
      <c r="I7" s="6" t="n"/>
    </row>
    <row r="8">
      <c r="A8" s="6" t="inlineStr">
        <is>
          <t>Offerta B (esempio)</t>
        </is>
      </c>
      <c r="B8" s="6" t="inlineStr">
        <is>
          <t>Luce</t>
        </is>
      </c>
      <c r="C8" s="6" t="inlineStr">
        <is>
          <t>Fisso</t>
        </is>
      </c>
      <c r="D8" s="18" t="n">
        <v>0.125</v>
      </c>
      <c r="E8" s="8" t="n">
        <v>6</v>
      </c>
      <c r="F8" s="10">
        <f>IF(AND(B8&lt;&gt;"",D8&lt;&gt;""),IF(B8="Luce",$C$2,$C$3)*D8+E8*12,"")</f>
        <v/>
      </c>
      <c r="G8" s="19">
        <f>IF(F8="","",F8-SUMIFS($F$6:$F$35,$B$6:$B$35,B8,$H$6:$H$35,"Si"))</f>
        <v/>
      </c>
      <c r="H8" s="6" t="n"/>
      <c r="I8" s="6" t="n"/>
    </row>
    <row r="9">
      <c r="A9" s="6" t="inlineStr">
        <is>
          <t>Attuale gas (esempio)</t>
        </is>
      </c>
      <c r="B9" s="6" t="inlineStr">
        <is>
          <t>Gas</t>
        </is>
      </c>
      <c r="C9" s="6" t="inlineStr">
        <is>
          <t>Fisso</t>
        </is>
      </c>
      <c r="D9" s="18" t="n">
        <v>0.52</v>
      </c>
      <c r="E9" s="8" t="n">
        <v>10</v>
      </c>
      <c r="F9" s="10">
        <f>IF(AND(B9&lt;&gt;"",D9&lt;&gt;""),IF(B9="Luce",$C$2,$C$3)*D9+E9*12,"")</f>
        <v/>
      </c>
      <c r="G9" s="19">
        <f>IF(F9="","",F9-SUMIFS($F$6:$F$35,$B$6:$B$35,B9,$H$6:$H$35,"Si"))</f>
        <v/>
      </c>
      <c r="H9" s="6" t="inlineStr">
        <is>
          <t>Si</t>
        </is>
      </c>
      <c r="I9" s="6" t="n"/>
    </row>
    <row r="10">
      <c r="A10" s="6" t="inlineStr">
        <is>
          <t>Offerta C (esempio)</t>
        </is>
      </c>
      <c r="B10" s="6" t="inlineStr">
        <is>
          <t>Gas</t>
        </is>
      </c>
      <c r="C10" s="6" t="inlineStr">
        <is>
          <t>Indicizzato</t>
        </is>
      </c>
      <c r="D10" s="18" t="n">
        <v>0.46</v>
      </c>
      <c r="E10" s="8" t="n">
        <v>12</v>
      </c>
      <c r="F10" s="10">
        <f>IF(AND(B10&lt;&gt;"",D10&lt;&gt;""),IF(B10="Luce",$C$2,$C$3)*D10+E10*12,"")</f>
        <v/>
      </c>
      <c r="G10" s="19">
        <f>IF(F10="","",F10-SUMIFS($F$6:$F$35,$B$6:$B$35,B10,$H$6:$H$35,"Si"))</f>
        <v/>
      </c>
      <c r="H10" s="6" t="n"/>
      <c r="I10" s="6" t="n"/>
    </row>
    <row r="11">
      <c r="A11" s="6" t="n"/>
      <c r="B11" s="6" t="n"/>
      <c r="C11" s="6" t="n"/>
      <c r="D11" s="18" t="n"/>
      <c r="E11" s="8" t="n"/>
      <c r="F11" s="10">
        <f>IF(AND(B11&lt;&gt;"",D11&lt;&gt;""),IF(B11="Luce",$C$2,$C$3)*D11+E11*12,"")</f>
        <v/>
      </c>
      <c r="G11" s="19">
        <f>IF(F11="","",F11-SUMIFS($F$6:$F$35,$B$6:$B$35,B11,$H$6:$H$35,"Si"))</f>
        <v/>
      </c>
      <c r="H11" s="6" t="n"/>
      <c r="I11" s="6" t="n"/>
    </row>
    <row r="12">
      <c r="A12" s="6" t="n"/>
      <c r="B12" s="6" t="n"/>
      <c r="C12" s="6" t="n"/>
      <c r="D12" s="18" t="n"/>
      <c r="E12" s="8" t="n"/>
      <c r="F12" s="10">
        <f>IF(AND(B12&lt;&gt;"",D12&lt;&gt;""),IF(B12="Luce",$C$2,$C$3)*D12+E12*12,"")</f>
        <v/>
      </c>
      <c r="G12" s="19">
        <f>IF(F12="","",F12-SUMIFS($F$6:$F$35,$B$6:$B$35,B12,$H$6:$H$35,"Si"))</f>
        <v/>
      </c>
      <c r="H12" s="6" t="n"/>
      <c r="I12" s="6" t="n"/>
    </row>
    <row r="13">
      <c r="A13" s="6" t="n"/>
      <c r="B13" s="6" t="n"/>
      <c r="C13" s="6" t="n"/>
      <c r="D13" s="18" t="n"/>
      <c r="E13" s="8" t="n"/>
      <c r="F13" s="10">
        <f>IF(AND(B13&lt;&gt;"",D13&lt;&gt;""),IF(B13="Luce",$C$2,$C$3)*D13+E13*12,"")</f>
        <v/>
      </c>
      <c r="G13" s="19">
        <f>IF(F13="","",F13-SUMIFS($F$6:$F$35,$B$6:$B$35,B13,$H$6:$H$35,"Si"))</f>
        <v/>
      </c>
      <c r="H13" s="6" t="n"/>
      <c r="I13" s="6" t="n"/>
    </row>
    <row r="14">
      <c r="A14" s="6" t="n"/>
      <c r="B14" s="6" t="n"/>
      <c r="C14" s="6" t="n"/>
      <c r="D14" s="18" t="n"/>
      <c r="E14" s="8" t="n"/>
      <c r="F14" s="10">
        <f>IF(AND(B14&lt;&gt;"",D14&lt;&gt;""),IF(B14="Luce",$C$2,$C$3)*D14+E14*12,"")</f>
        <v/>
      </c>
      <c r="G14" s="19">
        <f>IF(F14="","",F14-SUMIFS($F$6:$F$35,$B$6:$B$35,B14,$H$6:$H$35,"Si"))</f>
        <v/>
      </c>
      <c r="H14" s="6" t="n"/>
      <c r="I14" s="6" t="n"/>
    </row>
    <row r="15">
      <c r="A15" s="6" t="n"/>
      <c r="B15" s="6" t="n"/>
      <c r="C15" s="6" t="n"/>
      <c r="D15" s="18" t="n"/>
      <c r="E15" s="8" t="n"/>
      <c r="F15" s="10">
        <f>IF(AND(B15&lt;&gt;"",D15&lt;&gt;""),IF(B15="Luce",$C$2,$C$3)*D15+E15*12,"")</f>
        <v/>
      </c>
      <c r="G15" s="19">
        <f>IF(F15="","",F15-SUMIFS($F$6:$F$35,$B$6:$B$35,B15,$H$6:$H$35,"Si"))</f>
        <v/>
      </c>
      <c r="H15" s="6" t="n"/>
      <c r="I15" s="6" t="n"/>
    </row>
    <row r="16">
      <c r="A16" s="6" t="n"/>
      <c r="B16" s="6" t="n"/>
      <c r="C16" s="6" t="n"/>
      <c r="D16" s="18" t="n"/>
      <c r="E16" s="8" t="n"/>
      <c r="F16" s="10">
        <f>IF(AND(B16&lt;&gt;"",D16&lt;&gt;""),IF(B16="Luce",$C$2,$C$3)*D16+E16*12,"")</f>
        <v/>
      </c>
      <c r="G16" s="19">
        <f>IF(F16="","",F16-SUMIFS($F$6:$F$35,$B$6:$B$35,B16,$H$6:$H$35,"Si"))</f>
        <v/>
      </c>
      <c r="H16" s="6" t="n"/>
      <c r="I16" s="6" t="n"/>
    </row>
    <row r="17">
      <c r="A17" s="6" t="n"/>
      <c r="B17" s="6" t="n"/>
      <c r="C17" s="6" t="n"/>
      <c r="D17" s="18" t="n"/>
      <c r="E17" s="8" t="n"/>
      <c r="F17" s="10">
        <f>IF(AND(B17&lt;&gt;"",D17&lt;&gt;""),IF(B17="Luce",$C$2,$C$3)*D17+E17*12,"")</f>
        <v/>
      </c>
      <c r="G17" s="19">
        <f>IF(F17="","",F17-SUMIFS($F$6:$F$35,$B$6:$B$35,B17,$H$6:$H$35,"Si"))</f>
        <v/>
      </c>
      <c r="H17" s="6" t="n"/>
      <c r="I17" s="6" t="n"/>
    </row>
    <row r="18">
      <c r="A18" s="6" t="n"/>
      <c r="B18" s="6" t="n"/>
      <c r="C18" s="6" t="n"/>
      <c r="D18" s="18" t="n"/>
      <c r="E18" s="8" t="n"/>
      <c r="F18" s="10">
        <f>IF(AND(B18&lt;&gt;"",D18&lt;&gt;""),IF(B18="Luce",$C$2,$C$3)*D18+E18*12,"")</f>
        <v/>
      </c>
      <c r="G18" s="19">
        <f>IF(F18="","",F18-SUMIFS($F$6:$F$35,$B$6:$B$35,B18,$H$6:$H$35,"Si"))</f>
        <v/>
      </c>
      <c r="H18" s="6" t="n"/>
      <c r="I18" s="6" t="n"/>
    </row>
    <row r="19">
      <c r="A19" s="6" t="n"/>
      <c r="B19" s="6" t="n"/>
      <c r="C19" s="6" t="n"/>
      <c r="D19" s="18" t="n"/>
      <c r="E19" s="8" t="n"/>
      <c r="F19" s="10">
        <f>IF(AND(B19&lt;&gt;"",D19&lt;&gt;""),IF(B19="Luce",$C$2,$C$3)*D19+E19*12,"")</f>
        <v/>
      </c>
      <c r="G19" s="19">
        <f>IF(F19="","",F19-SUMIFS($F$6:$F$35,$B$6:$B$35,B19,$H$6:$H$35,"Si"))</f>
        <v/>
      </c>
      <c r="H19" s="6" t="n"/>
      <c r="I19" s="6" t="n"/>
    </row>
    <row r="20">
      <c r="A20" s="6" t="n"/>
      <c r="B20" s="6" t="n"/>
      <c r="C20" s="6" t="n"/>
      <c r="D20" s="18" t="n"/>
      <c r="E20" s="8" t="n"/>
      <c r="F20" s="10">
        <f>IF(AND(B20&lt;&gt;"",D20&lt;&gt;""),IF(B20="Luce",$C$2,$C$3)*D20+E20*12,"")</f>
        <v/>
      </c>
      <c r="G20" s="19">
        <f>IF(F20="","",F20-SUMIFS($F$6:$F$35,$B$6:$B$35,B20,$H$6:$H$35,"Si"))</f>
        <v/>
      </c>
      <c r="H20" s="6" t="n"/>
      <c r="I20" s="6" t="n"/>
    </row>
    <row r="21">
      <c r="A21" s="6" t="n"/>
      <c r="B21" s="6" t="n"/>
      <c r="C21" s="6" t="n"/>
      <c r="D21" s="18" t="n"/>
      <c r="E21" s="8" t="n"/>
      <c r="F21" s="10">
        <f>IF(AND(B21&lt;&gt;"",D21&lt;&gt;""),IF(B21="Luce",$C$2,$C$3)*D21+E21*12,"")</f>
        <v/>
      </c>
      <c r="G21" s="19">
        <f>IF(F21="","",F21-SUMIFS($F$6:$F$35,$B$6:$B$35,B21,$H$6:$H$35,"Si"))</f>
        <v/>
      </c>
      <c r="H21" s="6" t="n"/>
      <c r="I21" s="6" t="n"/>
    </row>
    <row r="22">
      <c r="A22" s="6" t="n"/>
      <c r="B22" s="6" t="n"/>
      <c r="C22" s="6" t="n"/>
      <c r="D22" s="18" t="n"/>
      <c r="E22" s="8" t="n"/>
      <c r="F22" s="10">
        <f>IF(AND(B22&lt;&gt;"",D22&lt;&gt;""),IF(B22="Luce",$C$2,$C$3)*D22+E22*12,"")</f>
        <v/>
      </c>
      <c r="G22" s="19">
        <f>IF(F22="","",F22-SUMIFS($F$6:$F$35,$B$6:$B$35,B22,$H$6:$H$35,"Si"))</f>
        <v/>
      </c>
      <c r="H22" s="6" t="n"/>
      <c r="I22" s="6" t="n"/>
    </row>
    <row r="23">
      <c r="A23" s="6" t="n"/>
      <c r="B23" s="6" t="n"/>
      <c r="C23" s="6" t="n"/>
      <c r="D23" s="18" t="n"/>
      <c r="E23" s="8" t="n"/>
      <c r="F23" s="10">
        <f>IF(AND(B23&lt;&gt;"",D23&lt;&gt;""),IF(B23="Luce",$C$2,$C$3)*D23+E23*12,"")</f>
        <v/>
      </c>
      <c r="G23" s="19">
        <f>IF(F23="","",F23-SUMIFS($F$6:$F$35,$B$6:$B$35,B23,$H$6:$H$35,"Si"))</f>
        <v/>
      </c>
      <c r="H23" s="6" t="n"/>
      <c r="I23" s="6" t="n"/>
    </row>
    <row r="24">
      <c r="A24" s="6" t="n"/>
      <c r="B24" s="6" t="n"/>
      <c r="C24" s="6" t="n"/>
      <c r="D24" s="18" t="n"/>
      <c r="E24" s="8" t="n"/>
      <c r="F24" s="10">
        <f>IF(AND(B24&lt;&gt;"",D24&lt;&gt;""),IF(B24="Luce",$C$2,$C$3)*D24+E24*12,"")</f>
        <v/>
      </c>
      <c r="G24" s="19">
        <f>IF(F24="","",F24-SUMIFS($F$6:$F$35,$B$6:$B$35,B24,$H$6:$H$35,"Si"))</f>
        <v/>
      </c>
      <c r="H24" s="6" t="n"/>
      <c r="I24" s="6" t="n"/>
    </row>
    <row r="25">
      <c r="A25" s="6" t="n"/>
      <c r="B25" s="6" t="n"/>
      <c r="C25" s="6" t="n"/>
      <c r="D25" s="18" t="n"/>
      <c r="E25" s="8" t="n"/>
      <c r="F25" s="10">
        <f>IF(AND(B25&lt;&gt;"",D25&lt;&gt;""),IF(B25="Luce",$C$2,$C$3)*D25+E25*12,"")</f>
        <v/>
      </c>
      <c r="G25" s="19">
        <f>IF(F25="","",F25-SUMIFS($F$6:$F$35,$B$6:$B$35,B25,$H$6:$H$35,"Si"))</f>
        <v/>
      </c>
      <c r="H25" s="6" t="n"/>
      <c r="I25" s="6" t="n"/>
    </row>
    <row r="26">
      <c r="A26" s="6" t="n"/>
      <c r="B26" s="6" t="n"/>
      <c r="C26" s="6" t="n"/>
      <c r="D26" s="18" t="n"/>
      <c r="E26" s="8" t="n"/>
      <c r="F26" s="10">
        <f>IF(AND(B26&lt;&gt;"",D26&lt;&gt;""),IF(B26="Luce",$C$2,$C$3)*D26+E26*12,"")</f>
        <v/>
      </c>
      <c r="G26" s="19">
        <f>IF(F26="","",F26-SUMIFS($F$6:$F$35,$B$6:$B$35,B26,$H$6:$H$35,"Si"))</f>
        <v/>
      </c>
      <c r="H26" s="6" t="n"/>
      <c r="I26" s="6" t="n"/>
    </row>
    <row r="27">
      <c r="A27" s="6" t="n"/>
      <c r="B27" s="6" t="n"/>
      <c r="C27" s="6" t="n"/>
      <c r="D27" s="18" t="n"/>
      <c r="E27" s="8" t="n"/>
      <c r="F27" s="10">
        <f>IF(AND(B27&lt;&gt;"",D27&lt;&gt;""),IF(B27="Luce",$C$2,$C$3)*D27+E27*12,"")</f>
        <v/>
      </c>
      <c r="G27" s="19">
        <f>IF(F27="","",F27-SUMIFS($F$6:$F$35,$B$6:$B$35,B27,$H$6:$H$35,"Si"))</f>
        <v/>
      </c>
      <c r="H27" s="6" t="n"/>
      <c r="I27" s="6" t="n"/>
    </row>
    <row r="28">
      <c r="A28" s="6" t="n"/>
      <c r="B28" s="6" t="n"/>
      <c r="C28" s="6" t="n"/>
      <c r="D28" s="18" t="n"/>
      <c r="E28" s="8" t="n"/>
      <c r="F28" s="10">
        <f>IF(AND(B28&lt;&gt;"",D28&lt;&gt;""),IF(B28="Luce",$C$2,$C$3)*D28+E28*12,"")</f>
        <v/>
      </c>
      <c r="G28" s="19">
        <f>IF(F28="","",F28-SUMIFS($F$6:$F$35,$B$6:$B$35,B28,$H$6:$H$35,"Si"))</f>
        <v/>
      </c>
      <c r="H28" s="6" t="n"/>
      <c r="I28" s="6" t="n"/>
    </row>
    <row r="29">
      <c r="A29" s="6" t="n"/>
      <c r="B29" s="6" t="n"/>
      <c r="C29" s="6" t="n"/>
      <c r="D29" s="18" t="n"/>
      <c r="E29" s="8" t="n"/>
      <c r="F29" s="10">
        <f>IF(AND(B29&lt;&gt;"",D29&lt;&gt;""),IF(B29="Luce",$C$2,$C$3)*D29+E29*12,"")</f>
        <v/>
      </c>
      <c r="G29" s="19">
        <f>IF(F29="","",F29-SUMIFS($F$6:$F$35,$B$6:$B$35,B29,$H$6:$H$35,"Si"))</f>
        <v/>
      </c>
      <c r="H29" s="6" t="n"/>
      <c r="I29" s="6" t="n"/>
    </row>
    <row r="30">
      <c r="A30" s="6" t="n"/>
      <c r="B30" s="6" t="n"/>
      <c r="C30" s="6" t="n"/>
      <c r="D30" s="18" t="n"/>
      <c r="E30" s="8" t="n"/>
      <c r="F30" s="10">
        <f>IF(AND(B30&lt;&gt;"",D30&lt;&gt;""),IF(B30="Luce",$C$2,$C$3)*D30+E30*12,"")</f>
        <v/>
      </c>
      <c r="G30" s="19">
        <f>IF(F30="","",F30-SUMIFS($F$6:$F$35,$B$6:$B$35,B30,$H$6:$H$35,"Si"))</f>
        <v/>
      </c>
      <c r="H30" s="6" t="n"/>
      <c r="I30" s="6" t="n"/>
    </row>
    <row r="31">
      <c r="A31" s="6" t="n"/>
      <c r="B31" s="6" t="n"/>
      <c r="C31" s="6" t="n"/>
      <c r="D31" s="18" t="n"/>
      <c r="E31" s="8" t="n"/>
      <c r="F31" s="10">
        <f>IF(AND(B31&lt;&gt;"",D31&lt;&gt;""),IF(B31="Luce",$C$2,$C$3)*D31+E31*12,"")</f>
        <v/>
      </c>
      <c r="G31" s="19">
        <f>IF(F31="","",F31-SUMIFS($F$6:$F$35,$B$6:$B$35,B31,$H$6:$H$35,"Si"))</f>
        <v/>
      </c>
      <c r="H31" s="6" t="n"/>
      <c r="I31" s="6" t="n"/>
    </row>
    <row r="32">
      <c r="A32" s="6" t="n"/>
      <c r="B32" s="6" t="n"/>
      <c r="C32" s="6" t="n"/>
      <c r="D32" s="18" t="n"/>
      <c r="E32" s="8" t="n"/>
      <c r="F32" s="10">
        <f>IF(AND(B32&lt;&gt;"",D32&lt;&gt;""),IF(B32="Luce",$C$2,$C$3)*D32+E32*12,"")</f>
        <v/>
      </c>
      <c r="G32" s="19">
        <f>IF(F32="","",F32-SUMIFS($F$6:$F$35,$B$6:$B$35,B32,$H$6:$H$35,"Si"))</f>
        <v/>
      </c>
      <c r="H32" s="6" t="n"/>
      <c r="I32" s="6" t="n"/>
    </row>
    <row r="33">
      <c r="A33" s="6" t="n"/>
      <c r="B33" s="6" t="n"/>
      <c r="C33" s="6" t="n"/>
      <c r="D33" s="18" t="n"/>
      <c r="E33" s="8" t="n"/>
      <c r="F33" s="10">
        <f>IF(AND(B33&lt;&gt;"",D33&lt;&gt;""),IF(B33="Luce",$C$2,$C$3)*D33+E33*12,"")</f>
        <v/>
      </c>
      <c r="G33" s="19">
        <f>IF(F33="","",F33-SUMIFS($F$6:$F$35,$B$6:$B$35,B33,$H$6:$H$35,"Si"))</f>
        <v/>
      </c>
      <c r="H33" s="6" t="n"/>
      <c r="I33" s="6" t="n"/>
    </row>
    <row r="34">
      <c r="A34" s="6" t="n"/>
      <c r="B34" s="6" t="n"/>
      <c r="C34" s="6" t="n"/>
      <c r="D34" s="18" t="n"/>
      <c r="E34" s="8" t="n"/>
      <c r="F34" s="10">
        <f>IF(AND(B34&lt;&gt;"",D34&lt;&gt;""),IF(B34="Luce",$C$2,$C$3)*D34+E34*12,"")</f>
        <v/>
      </c>
      <c r="G34" s="19">
        <f>IF(F34="","",F34-SUMIFS($F$6:$F$35,$B$6:$B$35,B34,$H$6:$H$35,"Si"))</f>
        <v/>
      </c>
      <c r="H34" s="6" t="n"/>
      <c r="I34" s="6" t="n"/>
    </row>
    <row r="35">
      <c r="A35" s="6" t="n"/>
      <c r="B35" s="6" t="n"/>
      <c r="C35" s="6" t="n"/>
      <c r="D35" s="18" t="n"/>
      <c r="E35" s="8" t="n"/>
      <c r="F35" s="10">
        <f>IF(AND(B35&lt;&gt;"",D35&lt;&gt;""),IF(B35="Luce",$C$2,$C$3)*D35+E35*12,"")</f>
        <v/>
      </c>
      <c r="G35" s="19">
        <f>IF(F35="","",F35-SUMIFS($F$6:$F$35,$B$6:$B$35,B35,$H$6:$H$35,"Si"))</f>
        <v/>
      </c>
      <c r="H35" s="6" t="n"/>
      <c r="I35" s="6" t="n"/>
    </row>
    <row r="37">
      <c r="A37" s="16" t="inlineStr">
        <is>
          <t>Negativo (verde) = l'offerta costa meno dell'attuale. Segna con 'Si' in colonna H la tua offerta attuale, una per fornitura.</t>
        </is>
      </c>
    </row>
    <row r="38">
      <c r="A38" s="16" t="inlineStr">
        <is>
          <t>IVA e accise non incluse nel confronto: il risparmio effettivo in bolletta e' leggermente superiore. Fonte offerte: ilportaleofferte.it (ARERA).</t>
        </is>
      </c>
    </row>
  </sheetData>
  <conditionalFormatting sqref="G6:G35">
    <cfRule type="expression" priority="1" dxfId="1">
      <formula>AND(ISNUMBER($G6),$G6&lt;0)</formula>
    </cfRule>
    <cfRule type="expression" priority="2" dxfId="2">
      <formula>AND(ISNUMBER($G6),$G6&gt;0)</formula>
    </cfRule>
  </conditionalFormatting>
  <dataValidations count="2">
    <dataValidation sqref="B6:B35" showDropDown="0" showInputMessage="0" showErrorMessage="0" allowBlank="1" type="list">
      <formula1>"Luce,Gas"</formula1>
    </dataValidation>
    <dataValidation sqref="H6:H35" showDropDown="0" showInputMessage="0" showErrorMessage="0" allowBlank="1" type="list">
      <formula1>"Si"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Lumen &amp; Ledger</dc:creator>
  <dc:title xmlns:dc="http://purl.org/dc/elements/1.1/">Tracker bollette luce e gas + confronto offerte</dc:title>
  <dcterms:created xmlns:dcterms="http://purl.org/dc/terms/" xmlns:xsi="http://www.w3.org/2001/XMLSchema-instance" xsi:type="dcterms:W3CDTF">2026-10-30T00:00:00Z</dcterms:created>
  <dcterms:modified xmlns:dcterms="http://purl.org/dc/terms/" xmlns:xsi="http://www.w3.org/2001/XMLSchema-instance" xsi:type="dcterms:W3CDTF">2026-10-30T12:42:59Z</dcterms:modified>
  <cp:lastModifiedBy>Lumen &amp; Ledger</cp:lastModifiedBy>
</cp:coreProperties>
</file>