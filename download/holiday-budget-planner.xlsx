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Gifts" sheetId="4" state="visible" r:id="rId4"/>
    <sheet xmlns:r="http://schemas.openxmlformats.org/officeDocument/2006/relationships" name="Other spe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0F2A3D"/>
      <sz val="16"/>
    </font>
    <font>
      <i val="1"/>
    </font>
    <font>
      <b val="1"/>
      <color rgb="000F2A3D"/>
    </font>
    <font>
      <b val="1"/>
      <color rgb="000F2A3D"/>
      <sz val="14"/>
    </font>
    <font>
      <i val="1"/>
      <color rgb="0055555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0CCC0"/>
      </left>
      <right style="thin">
        <color rgb="00D0CCC0"/>
      </right>
      <top style="thin">
        <color rgb="00D0CCC0"/>
      </top>
      <bottom style="thin">
        <color rgb="00D0CCC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9" fontId="0" fillId="0" borderId="1" pivotButton="0" quotePrefix="0" xfId="0"/>
    <xf numFmtId="0" fontId="7" fillId="0" borderId="0" pivotButton="0" quotePrefix="0" xfId="0"/>
    <xf numFmtId="4" fontId="7" fillId="0" borderId="1" pivotButton="0" quotePrefix="0" xfId="0"/>
    <xf numFmtId="9" fontId="7" fillId="0" borderId="1" pivotButton="0" quotePrefix="0" xfId="0"/>
    <xf numFmtId="0" fontId="3" fillId="0" borderId="0" pivotButton="0" quotePrefix="0" xfId="0"/>
    <xf numFmtId="1" fontId="0" fillId="2" borderId="1" pivotButton="0" quotePrefix="0" xfId="0"/>
    <xf numFmtId="4" fontId="0" fillId="2" borderId="1" pivotButton="0" quotePrefix="0" xfId="0"/>
    <xf numFmtId="4" fontId="7" fillId="0" borderId="0" pivotButton="0" quotePrefix="0" xfId="0"/>
    <xf numFmtId="4" fontId="0" fillId="0" borderId="0" pivotButton="0" quotePrefix="0" xfId="0"/>
    <xf numFmtId="0" fontId="0" fillId="2" borderId="1" pivotButton="0" quotePrefix="0" xfId="0"/>
    <xf numFmtId="164" fontId="0" fillId="2" borderId="1" pivotButton="0" quotePrefix="0" xfId="0"/>
  </cellXfs>
  <cellStyles count="1">
    <cellStyle name="Normal" xfId="0" builtinId="0" hidden="0"/>
  </cellStyles>
  <dxfs count="3">
    <dxf>
      <font>
        <b val="1"/>
        <color rgb="00C2452D"/>
      </font>
    </dxf>
    <dxf>
      <font>
        <color rgb="002E8B57"/>
      </font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'Summary'!$A$5:$A$13</f>
            </numRef>
          </cat>
          <val>
            <numRef>
              <f>'Summary'!$B$5:$B$13</f>
            </numRef>
          </val>
        </ser>
        <ser>
          <idx val="1"/>
          <order val="1"/>
          <tx>
            <strRef>
              <f>'Summary'!C4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'Summary'!$A$5:$A$13</f>
            </numRef>
          </cat>
          <val>
            <numRef>
              <f>'Summary'!$C$5:$C$13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Holiday Budget Planner</t>
        </is>
      </c>
    </row>
    <row r="2">
      <c r="A2" s="2" t="inlineStr">
        <is>
          <t>Lumen &amp; Ledger - CC BY 4.0. No macros, no external links, no tracking. Works in Excel, LibreOffice and Google Sheets.</t>
        </is>
      </c>
    </row>
    <row r="3">
      <c r="A3" s="3" t="inlineStr"/>
    </row>
    <row r="4">
      <c r="A4" s="4" t="inlineStr">
        <is>
          <t>HOW TO USE (yellow cells are inputs, everything else is calculated)</t>
        </is>
      </c>
    </row>
    <row r="5">
      <c r="A5" s="3" t="inlineStr">
        <is>
          <t>1. 'Setup': year, your total holiday budget, a budget for each category, and (optional) what you actually spent last year.</t>
        </is>
      </c>
    </row>
    <row r="6">
      <c r="A6" s="3" t="inlineStr">
        <is>
          <t>2. 'Gifts': one row per person. Set a budget per person first, then log what you really paid (+ shipping/wrapping for that gift).</t>
        </is>
      </c>
    </row>
    <row r="7">
      <c r="A7" s="3" t="inlineStr">
        <is>
          <t xml:space="preserve">   The Gifts category budget in Setup is the SUM of the per-person budgets, so planning starts from people, not from a round number.</t>
        </is>
      </c>
    </row>
    <row r="8">
      <c r="A8" s="3" t="inlineStr">
        <is>
          <t>3. 'Other spending': food and hosting, travel, decorations, cards and postage, events, donations... one row per purchase.</t>
        </is>
      </c>
    </row>
    <row r="9">
      <c r="A9" s="3" t="inlineStr">
        <is>
          <t>4. 'Summary': planned vs actual per category, what is left, change vs last year, gifts per group, and how much went on credit cards.</t>
        </is>
      </c>
    </row>
    <row r="10">
      <c r="A10" s="3" t="inlineStr"/>
    </row>
    <row r="11">
      <c r="A11" s="4" t="inlineStr">
        <is>
          <t>WHAT THE CHECKS MEAN</t>
        </is>
      </c>
    </row>
    <row r="12">
      <c r="A12" s="3" t="inlineStr">
        <is>
          <t>- 'Plan vs total budget' in Setup: if your category budgets add up to more than your total budget, the gap is shown in red before you spend.</t>
        </is>
      </c>
    </row>
    <row r="13">
      <c r="A13" s="3" t="inlineStr">
        <is>
          <t>- Red 'Remaining' = that person or category is over budget.</t>
        </is>
      </c>
    </row>
    <row r="14">
      <c r="A14" s="3" t="inlineStr">
        <is>
          <t>- Returned a gift? Set status 'Returned' and clear its price (or enter the replacement), otherwise it still counts as spent.</t>
        </is>
      </c>
    </row>
    <row r="15">
      <c r="A15" s="3" t="inlineStr">
        <is>
          <t>- 'Charged to credit cards' in Summary = what will show up on statements in December/January. Plan to pay it in full, or know the number now.</t>
        </is>
      </c>
    </row>
    <row r="16">
      <c r="A16" s="3" t="inlineStr">
        <is>
          <t>- 'Return by' in Gifts: write the store's return deadline from the receipt; rows due in the next 14 days turn orange.</t>
        </is>
      </c>
    </row>
    <row r="17">
      <c r="A17" s="3" t="inlineStr"/>
    </row>
    <row r="18">
      <c r="A18" s="4" t="inlineStr">
        <is>
          <t>TIPS</t>
        </is>
      </c>
    </row>
    <row r="19">
      <c r="A19" s="3" t="inlineStr">
        <is>
          <t>- Put bulk wrapping paper, tape and boxes in 'Other spending' (category 'Wrapping &amp; shipping'); put shipping for a single gift in that gift's row. Never both.</t>
        </is>
      </c>
    </row>
    <row r="20">
      <c r="A20" s="3" t="inlineStr">
        <is>
          <t>- Keep last year's file: next year copy the 'Actual' column of Summary into 'Last year actual' in Setup.</t>
        </is>
      </c>
    </row>
    <row r="21">
      <c r="A21" s="3" t="inlineStr">
        <is>
          <t>- The example rows (marked 'Example') are fictitious: delete them or overwrite them.</t>
        </is>
      </c>
    </row>
    <row r="22">
      <c r="A22" s="3" t="inlineStr">
        <is>
          <t>- Amounts have no currency symbol on purpose: use dollars, euros, pounds... consistently.</t>
        </is>
      </c>
    </row>
    <row r="23">
      <c r="A23" s="3" t="inlineStr"/>
    </row>
    <row r="24">
      <c r="A24" s="4" t="inlineStr">
        <is>
          <t>NOTE</t>
        </is>
      </c>
    </row>
    <row r="25">
      <c r="A25" s="3" t="inlineStr">
        <is>
          <t>This is a planning sheet, not financial advice. It does not connect to any bank or store and stores nothing outside the file.</t>
        </is>
      </c>
    </row>
    <row r="26">
      <c r="A26" s="3" t="inlineStr">
        <is>
          <t>Free updates and other small tools: https://lumen-ledger.github.io/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9" customWidth="1" min="5" max="5"/>
    <col width="15" customWidth="1" min="6" max="6"/>
    <col width="16" customWidth="1" min="7" max="7"/>
  </cols>
  <sheetData>
    <row r="1">
      <c r="A1" s="5" t="inlineStr">
        <is>
          <t>Summary</t>
        </is>
      </c>
    </row>
    <row r="2">
      <c r="A2" s="6">
        <f>"Year "&amp;Setup!B2</f>
        <v/>
      </c>
    </row>
    <row r="4">
      <c r="A4" s="7" t="inlineStr">
        <is>
          <t>Category</t>
        </is>
      </c>
      <c r="B4" s="7" t="inlineStr">
        <is>
          <t>Planned</t>
        </is>
      </c>
      <c r="C4" s="7" t="inlineStr">
        <is>
          <t>Actual</t>
        </is>
      </c>
      <c r="D4" s="7" t="inlineStr">
        <is>
          <t>Remaining</t>
        </is>
      </c>
      <c r="E4" s="7" t="inlineStr">
        <is>
          <t>% used</t>
        </is>
      </c>
      <c r="F4" s="7" t="inlineStr">
        <is>
          <t>Last year actual</t>
        </is>
      </c>
      <c r="G4" s="7" t="inlineStr">
        <is>
          <t>Change vs last year (so far)</t>
        </is>
      </c>
    </row>
    <row r="5">
      <c r="A5" s="8">
        <f>Setup!A6</f>
        <v/>
      </c>
      <c r="B5" s="9">
        <f>Setup!B6</f>
        <v/>
      </c>
      <c r="C5" s="9">
        <f>SUM(Gifts!G2:G151)</f>
        <v/>
      </c>
      <c r="D5" s="9">
        <f>B5-C5</f>
        <v/>
      </c>
      <c r="E5" s="10">
        <f>IF(N(B5)=0,"",C5/B5)</f>
        <v/>
      </c>
      <c r="F5" s="9">
        <f>IF(Setup!C6="","",Setup!C6)</f>
        <v/>
      </c>
      <c r="G5" s="9">
        <f>IF(F5="","",C5-F5)</f>
        <v/>
      </c>
    </row>
    <row r="6">
      <c r="A6" s="8">
        <f>Setup!A7</f>
        <v/>
      </c>
      <c r="B6" s="9">
        <f>Setup!B7</f>
        <v/>
      </c>
      <c r="C6" s="9">
        <f>SUMIF('Other spending'!B2:B301,A6,'Other spending'!D2:D301)</f>
        <v/>
      </c>
      <c r="D6" s="9">
        <f>B6-C6</f>
        <v/>
      </c>
      <c r="E6" s="10">
        <f>IF(N(B6)=0,"",C6/B6)</f>
        <v/>
      </c>
      <c r="F6" s="9">
        <f>IF(Setup!C7="","",Setup!C7)</f>
        <v/>
      </c>
      <c r="G6" s="9">
        <f>IF(F6="","",C6-F6)</f>
        <v/>
      </c>
    </row>
    <row r="7">
      <c r="A7" s="8">
        <f>Setup!A8</f>
        <v/>
      </c>
      <c r="B7" s="9">
        <f>Setup!B8</f>
        <v/>
      </c>
      <c r="C7" s="9">
        <f>SUMIF('Other spending'!B2:B301,A7,'Other spending'!D2:D301)</f>
        <v/>
      </c>
      <c r="D7" s="9">
        <f>B7-C7</f>
        <v/>
      </c>
      <c r="E7" s="10">
        <f>IF(N(B7)=0,"",C7/B7)</f>
        <v/>
      </c>
      <c r="F7" s="9">
        <f>IF(Setup!C8="","",Setup!C8)</f>
        <v/>
      </c>
      <c r="G7" s="9">
        <f>IF(F7="","",C7-F7)</f>
        <v/>
      </c>
    </row>
    <row r="8">
      <c r="A8" s="8">
        <f>Setup!A9</f>
        <v/>
      </c>
      <c r="B8" s="9">
        <f>Setup!B9</f>
        <v/>
      </c>
      <c r="C8" s="9">
        <f>SUMIF('Other spending'!B2:B301,A8,'Other spending'!D2:D301)</f>
        <v/>
      </c>
      <c r="D8" s="9">
        <f>B8-C8</f>
        <v/>
      </c>
      <c r="E8" s="10">
        <f>IF(N(B8)=0,"",C8/B8)</f>
        <v/>
      </c>
      <c r="F8" s="9">
        <f>IF(Setup!C9="","",Setup!C9)</f>
        <v/>
      </c>
      <c r="G8" s="9">
        <f>IF(F8="","",C8-F8)</f>
        <v/>
      </c>
    </row>
    <row r="9">
      <c r="A9" s="8">
        <f>Setup!A10</f>
        <v/>
      </c>
      <c r="B9" s="9">
        <f>Setup!B10</f>
        <v/>
      </c>
      <c r="C9" s="9">
        <f>SUMIF('Other spending'!B2:B301,A9,'Other spending'!D2:D301)</f>
        <v/>
      </c>
      <c r="D9" s="9">
        <f>B9-C9</f>
        <v/>
      </c>
      <c r="E9" s="10">
        <f>IF(N(B9)=0,"",C9/B9)</f>
        <v/>
      </c>
      <c r="F9" s="9">
        <f>IF(Setup!C10="","",Setup!C10)</f>
        <v/>
      </c>
      <c r="G9" s="9">
        <f>IF(F9="","",C9-F9)</f>
        <v/>
      </c>
    </row>
    <row r="10">
      <c r="A10" s="8">
        <f>Setup!A11</f>
        <v/>
      </c>
      <c r="B10" s="9">
        <f>Setup!B11</f>
        <v/>
      </c>
      <c r="C10" s="9">
        <f>SUMIF('Other spending'!B2:B301,A10,'Other spending'!D2:D301)</f>
        <v/>
      </c>
      <c r="D10" s="9">
        <f>B10-C10</f>
        <v/>
      </c>
      <c r="E10" s="10">
        <f>IF(N(B10)=0,"",C10/B10)</f>
        <v/>
      </c>
      <c r="F10" s="9">
        <f>IF(Setup!C11="","",Setup!C11)</f>
        <v/>
      </c>
      <c r="G10" s="9">
        <f>IF(F10="","",C10-F10)</f>
        <v/>
      </c>
    </row>
    <row r="11">
      <c r="A11" s="8">
        <f>Setup!A12</f>
        <v/>
      </c>
      <c r="B11" s="9">
        <f>Setup!B12</f>
        <v/>
      </c>
      <c r="C11" s="9">
        <f>SUMIF('Other spending'!B2:B301,A11,'Other spending'!D2:D301)</f>
        <v/>
      </c>
      <c r="D11" s="9">
        <f>B11-C11</f>
        <v/>
      </c>
      <c r="E11" s="10">
        <f>IF(N(B11)=0,"",C11/B11)</f>
        <v/>
      </c>
      <c r="F11" s="9">
        <f>IF(Setup!C12="","",Setup!C12)</f>
        <v/>
      </c>
      <c r="G11" s="9">
        <f>IF(F11="","",C11-F11)</f>
        <v/>
      </c>
    </row>
    <row r="12">
      <c r="A12" s="8">
        <f>Setup!A13</f>
        <v/>
      </c>
      <c r="B12" s="9">
        <f>Setup!B13</f>
        <v/>
      </c>
      <c r="C12" s="9">
        <f>SUMIF('Other spending'!B2:B301,A12,'Other spending'!D2:D301)</f>
        <v/>
      </c>
      <c r="D12" s="9">
        <f>B12-C12</f>
        <v/>
      </c>
      <c r="E12" s="10">
        <f>IF(N(B12)=0,"",C12/B12)</f>
        <v/>
      </c>
      <c r="F12" s="9">
        <f>IF(Setup!C13="","",Setup!C13)</f>
        <v/>
      </c>
      <c r="G12" s="9">
        <f>IF(F12="","",C12-F12)</f>
        <v/>
      </c>
    </row>
    <row r="13">
      <c r="A13" s="8">
        <f>Setup!A14</f>
        <v/>
      </c>
      <c r="B13" s="9">
        <f>Setup!B14</f>
        <v/>
      </c>
      <c r="C13" s="9">
        <f>SUMIF('Other spending'!B2:B301,A13,'Other spending'!D2:D301)</f>
        <v/>
      </c>
      <c r="D13" s="9">
        <f>B13-C13</f>
        <v/>
      </c>
      <c r="E13" s="10">
        <f>IF(N(B13)=0,"",C13/B13)</f>
        <v/>
      </c>
      <c r="F13" s="9">
        <f>IF(Setup!C14="","",Setup!C14)</f>
        <v/>
      </c>
      <c r="G13" s="9">
        <f>IF(F13="","",C13-F13)</f>
        <v/>
      </c>
    </row>
    <row r="14">
      <c r="A14" s="11" t="inlineStr">
        <is>
          <t>Total</t>
        </is>
      </c>
      <c r="B14" s="12">
        <f>SUM(B5:B13)</f>
        <v/>
      </c>
      <c r="C14" s="12">
        <f>SUM(C5:C13)</f>
        <v/>
      </c>
      <c r="D14" s="12">
        <f>B14-C14</f>
        <v/>
      </c>
      <c r="E14" s="13">
        <f>IF(N(B14)=0,"",C14/B14)</f>
        <v/>
      </c>
      <c r="F14" s="12">
        <f>SUM(F5:F13)</f>
        <v/>
      </c>
      <c r="G14" s="12">
        <f>IF(F14=0,"",C14-F14)</f>
        <v/>
      </c>
    </row>
    <row r="16">
      <c r="A16" s="14" t="inlineStr">
        <is>
          <t>Against your total budget</t>
        </is>
      </c>
    </row>
    <row r="17">
      <c r="A17" s="8" t="inlineStr">
        <is>
          <t>Total budget (Setup)</t>
        </is>
      </c>
      <c r="B17" s="9">
        <f>Setup!B3</f>
        <v/>
      </c>
    </row>
    <row r="18">
      <c r="A18" s="8" t="inlineStr">
        <is>
          <t>Spent so far (all rows)</t>
        </is>
      </c>
      <c r="B18" s="9">
        <f>SUM(Gifts!G2:G151)+SUM('Other spending'!D2:D301)</f>
        <v/>
      </c>
    </row>
    <row r="19">
      <c r="A19" s="8" t="inlineStr">
        <is>
          <t>Left to spend</t>
        </is>
      </c>
      <c r="B19" s="9">
        <f>Setup!B3-B18</f>
        <v/>
      </c>
    </row>
    <row r="20">
      <c r="A20" s="8" t="inlineStr">
        <is>
          <t>% of total budget used</t>
        </is>
      </c>
      <c r="B20" s="10">
        <f>IF(N(Setup!B3)=0,"",B18/Setup!B3)</f>
        <v/>
      </c>
    </row>
    <row r="21">
      <c r="A21" s="8" t="inlineStr">
        <is>
          <t>Other spending with no category (fix it)</t>
        </is>
      </c>
      <c r="B21" s="9">
        <f>B18-C14</f>
        <v/>
      </c>
    </row>
    <row r="22">
      <c r="A22" s="8" t="inlineStr">
        <is>
          <t>Charged to credit cards (Gifts + Other)</t>
        </is>
      </c>
      <c r="B22" s="9">
        <f>SUMIF(Gifts!K2:K151,Setup!A21,Gifts!G2:G151)+SUMIF('Other spending'!E2:E301,Setup!A21,'Other spending'!D2:D301)</f>
        <v/>
      </c>
    </row>
    <row r="24">
      <c r="A24" s="14" t="inlineStr">
        <is>
          <t>Gifts by group</t>
        </is>
      </c>
    </row>
    <row r="25">
      <c r="A25" s="7" t="inlineStr">
        <is>
          <t>Group</t>
        </is>
      </c>
      <c r="B25" s="7" t="inlineStr">
        <is>
          <t>People</t>
        </is>
      </c>
      <c r="C25" s="7" t="inlineStr">
        <is>
          <t>Budget</t>
        </is>
      </c>
      <c r="D25" s="7" t="inlineStr">
        <is>
          <t>Spent</t>
        </is>
      </c>
      <c r="E25" s="7" t="inlineStr">
        <is>
          <t>Remaining</t>
        </is>
      </c>
    </row>
    <row r="26">
      <c r="A26" s="8" t="inlineStr">
        <is>
          <t>Family</t>
        </is>
      </c>
      <c r="B26" s="8">
        <f>COUNTIF(Gifts!B2:B151,A26)</f>
        <v/>
      </c>
      <c r="C26" s="9">
        <f>SUMIF(Gifts!B2:B151,A26,Gifts!C2:C151)</f>
        <v/>
      </c>
      <c r="D26" s="9">
        <f>SUMIF(Gifts!B2:B151,A26,Gifts!G2:G151)</f>
        <v/>
      </c>
      <c r="E26" s="9">
        <f>C26-D26</f>
        <v/>
      </c>
    </row>
    <row r="27">
      <c r="A27" s="8" t="inlineStr">
        <is>
          <t>Kids</t>
        </is>
      </c>
      <c r="B27" s="8">
        <f>COUNTIF(Gifts!B2:B151,A27)</f>
        <v/>
      </c>
      <c r="C27" s="9">
        <f>SUMIF(Gifts!B2:B151,A27,Gifts!C2:C151)</f>
        <v/>
      </c>
      <c r="D27" s="9">
        <f>SUMIF(Gifts!B2:B151,A27,Gifts!G2:G151)</f>
        <v/>
      </c>
      <c r="E27" s="9">
        <f>C27-D27</f>
        <v/>
      </c>
    </row>
    <row r="28">
      <c r="A28" s="8" t="inlineStr">
        <is>
          <t>Friends</t>
        </is>
      </c>
      <c r="B28" s="8">
        <f>COUNTIF(Gifts!B2:B151,A28)</f>
        <v/>
      </c>
      <c r="C28" s="9">
        <f>SUMIF(Gifts!B2:B151,A28,Gifts!C2:C151)</f>
        <v/>
      </c>
      <c r="D28" s="9">
        <f>SUMIF(Gifts!B2:B151,A28,Gifts!G2:G151)</f>
        <v/>
      </c>
      <c r="E28" s="9">
        <f>C28-D28</f>
        <v/>
      </c>
    </row>
    <row r="29">
      <c r="A29" s="8" t="inlineStr">
        <is>
          <t>Work</t>
        </is>
      </c>
      <c r="B29" s="8">
        <f>COUNTIF(Gifts!B2:B151,A29)</f>
        <v/>
      </c>
      <c r="C29" s="9">
        <f>SUMIF(Gifts!B2:B151,A29,Gifts!C2:C151)</f>
        <v/>
      </c>
      <c r="D29" s="9">
        <f>SUMIF(Gifts!B2:B151,A29,Gifts!G2:G151)</f>
        <v/>
      </c>
      <c r="E29" s="9">
        <f>C29-D29</f>
        <v/>
      </c>
    </row>
    <row r="30">
      <c r="A30" s="8" t="inlineStr">
        <is>
          <t>Hosts</t>
        </is>
      </c>
      <c r="B30" s="8">
        <f>COUNTIF(Gifts!B2:B151,A30)</f>
        <v/>
      </c>
      <c r="C30" s="9">
        <f>SUMIF(Gifts!B2:B151,A30,Gifts!C2:C151)</f>
        <v/>
      </c>
      <c r="D30" s="9">
        <f>SUMIF(Gifts!B2:B151,A30,Gifts!G2:G151)</f>
        <v/>
      </c>
      <c r="E30" s="9">
        <f>C30-D30</f>
        <v/>
      </c>
    </row>
    <row r="31">
      <c r="A31" s="8" t="inlineStr">
        <is>
          <t>Other</t>
        </is>
      </c>
      <c r="B31" s="8">
        <f>COUNTIF(Gifts!B2:B151,A31)</f>
        <v/>
      </c>
      <c r="C31" s="9">
        <f>SUMIF(Gifts!B2:B151,A31,Gifts!C2:C151)</f>
        <v/>
      </c>
      <c r="D31" s="9">
        <f>SUMIF(Gifts!B2:B151,A31,Gifts!G2:G151)</f>
        <v/>
      </c>
      <c r="E31" s="9">
        <f>C31-D31</f>
        <v/>
      </c>
    </row>
    <row r="33">
      <c r="A33" s="14" t="inlineStr">
        <is>
          <t>Gift status</t>
        </is>
      </c>
    </row>
    <row r="34">
      <c r="A34" s="7" t="inlineStr">
        <is>
          <t>Status</t>
        </is>
      </c>
      <c r="B34" s="7" t="inlineStr">
        <is>
          <t>Gifts</t>
        </is>
      </c>
    </row>
    <row r="35">
      <c r="A35" s="8" t="inlineStr">
        <is>
          <t>Idea</t>
        </is>
      </c>
      <c r="B35" s="8">
        <f>COUNTIF(Gifts!I2:I151,A35)</f>
        <v/>
      </c>
    </row>
    <row r="36">
      <c r="A36" s="8" t="inlineStr">
        <is>
          <t>Ordered</t>
        </is>
      </c>
      <c r="B36" s="8">
        <f>COUNTIF(Gifts!I2:I151,A36)</f>
        <v/>
      </c>
    </row>
    <row r="37">
      <c r="A37" s="8" t="inlineStr">
        <is>
          <t>Bought</t>
        </is>
      </c>
      <c r="B37" s="8">
        <f>COUNTIF(Gifts!I2:I151,A37)</f>
        <v/>
      </c>
    </row>
    <row r="38">
      <c r="A38" s="8" t="inlineStr">
        <is>
          <t>Wrapped</t>
        </is>
      </c>
      <c r="B38" s="8">
        <f>COUNTIF(Gifts!I2:I151,A38)</f>
        <v/>
      </c>
    </row>
    <row r="39">
      <c r="A39" s="8" t="inlineStr">
        <is>
          <t>Given</t>
        </is>
      </c>
      <c r="B39" s="8">
        <f>COUNTIF(Gifts!I2:I151,A39)</f>
        <v/>
      </c>
    </row>
    <row r="40">
      <c r="A40" s="8" t="inlineStr">
        <is>
          <t>Returned</t>
        </is>
      </c>
      <c r="B40" s="8">
        <f>COUNTIF(Gifts!I2:I151,A40)</f>
        <v/>
      </c>
    </row>
    <row r="41">
      <c r="A41" s="8" t="inlineStr">
        <is>
          <t>People with no status yet</t>
        </is>
      </c>
      <c r="B41" s="8">
        <f>COUNTA(Gifts!A2:A151)-COUNTA(Gifts!I2:I151)</f>
        <v/>
      </c>
    </row>
  </sheetData>
  <conditionalFormatting sqref="D5:D14">
    <cfRule type="expression" priority="1" dxfId="0">
      <formula>D5&lt;0</formula>
    </cfRule>
  </conditionalFormatting>
  <conditionalFormatting sqref="E5:E14">
    <cfRule type="expression" priority="2" dxfId="0">
      <formula>AND(E5&lt;&gt;"",E5&gt;1)</formula>
    </cfRule>
  </conditionalFormatting>
  <conditionalFormatting sqref="B19">
    <cfRule type="expression" priority="3" dxfId="0">
      <formula>B19&lt;0</formula>
    </cfRule>
  </conditionalFormatting>
  <conditionalFormatting sqref="B21">
    <cfRule type="expression" priority="4" dxfId="0">
      <formula>ABS(B21)&gt;0.004</formula>
    </cfRule>
  </conditionalFormatting>
  <conditionalFormatting sqref="E26:E31">
    <cfRule type="expression" priority="5" dxfId="0">
      <formula>E26&lt;0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60" customWidth="1" min="4" max="4"/>
  </cols>
  <sheetData>
    <row r="1">
      <c r="A1" s="5" t="inlineStr">
        <is>
          <t>Setup</t>
        </is>
      </c>
    </row>
    <row r="2">
      <c r="A2" t="inlineStr">
        <is>
          <t>Year</t>
        </is>
      </c>
      <c r="B2" s="15" t="n">
        <v>2026</v>
      </c>
    </row>
    <row r="3">
      <c r="A3" t="inlineStr">
        <is>
          <t>Total holiday budget</t>
        </is>
      </c>
      <c r="B3" s="16" t="n">
        <v>1500</v>
      </c>
      <c r="D3" s="6" t="inlineStr">
        <is>
          <t>The most you want to spend on the whole season, all categories.</t>
        </is>
      </c>
    </row>
    <row r="5">
      <c r="A5" s="7" t="inlineStr">
        <is>
          <t>Category</t>
        </is>
      </c>
      <c r="B5" s="7" t="inlineStr">
        <is>
          <t>Planned</t>
        </is>
      </c>
      <c r="C5" s="7" t="inlineStr">
        <is>
          <t>Last year actual (optional)</t>
        </is>
      </c>
      <c r="D5" s="7" t="inlineStr">
        <is>
          <t>Notes</t>
        </is>
      </c>
    </row>
    <row r="6">
      <c r="A6" s="8" t="inlineStr">
        <is>
          <t>Gifts</t>
        </is>
      </c>
      <c r="B6" s="9">
        <f>SUM(Gifts!C2:C151)</f>
        <v/>
      </c>
      <c r="C6" s="16" t="n">
        <v>820</v>
      </c>
      <c r="D6" s="6" t="inlineStr">
        <is>
          <t>Calculated: sum of per-person budgets in 'Gifts'.</t>
        </is>
      </c>
    </row>
    <row r="7">
      <c r="A7" s="8" t="inlineStr">
        <is>
          <t>Food &amp; hosting</t>
        </is>
      </c>
      <c r="B7" s="16" t="n">
        <v>300</v>
      </c>
      <c r="C7" s="16" t="n">
        <v>340</v>
      </c>
    </row>
    <row r="8">
      <c r="A8" s="8" t="inlineStr">
        <is>
          <t>Travel</t>
        </is>
      </c>
      <c r="B8" s="16" t="n">
        <v>250</v>
      </c>
      <c r="C8" s="16" t="n">
        <v>0</v>
      </c>
    </row>
    <row r="9">
      <c r="A9" s="8" t="inlineStr">
        <is>
          <t>Decorations</t>
        </is>
      </c>
      <c r="B9" s="16" t="n">
        <v>60</v>
      </c>
      <c r="C9" s="16" t="n">
        <v>95</v>
      </c>
    </row>
    <row r="10">
      <c r="A10" s="8" t="inlineStr">
        <is>
          <t>Cards &amp; postage</t>
        </is>
      </c>
      <c r="B10" s="16" t="n">
        <v>25</v>
      </c>
      <c r="C10" s="16" t="n">
        <v>30</v>
      </c>
    </row>
    <row r="11">
      <c r="A11" s="8" t="inlineStr">
        <is>
          <t>Wrapping &amp; shipping</t>
        </is>
      </c>
      <c r="B11" s="16" t="n">
        <v>30</v>
      </c>
      <c r="C11" s="16" t="n">
        <v>45</v>
      </c>
    </row>
    <row r="12">
      <c r="A12" s="8" t="inlineStr">
        <is>
          <t>Events &amp; outings</t>
        </is>
      </c>
      <c r="B12" s="16" t="n">
        <v>80</v>
      </c>
      <c r="C12" s="16" t="n">
        <v>60</v>
      </c>
    </row>
    <row r="13">
      <c r="A13" s="8" t="inlineStr">
        <is>
          <t>Donations</t>
        </is>
      </c>
      <c r="B13" s="16" t="n">
        <v>100</v>
      </c>
      <c r="C13" s="16" t="n">
        <v>100</v>
      </c>
    </row>
    <row r="14">
      <c r="A14" s="8" t="inlineStr">
        <is>
          <t>Other</t>
        </is>
      </c>
      <c r="B14" s="16" t="n">
        <v>50</v>
      </c>
      <c r="C14" s="16" t="n">
        <v>70</v>
      </c>
    </row>
    <row r="15">
      <c r="A15" s="11" t="inlineStr">
        <is>
          <t>Total planned</t>
        </is>
      </c>
      <c r="B15" s="17">
        <f>SUM(B6:B14)</f>
        <v/>
      </c>
      <c r="C15" s="17">
        <f>SUM(C6:C14)</f>
        <v/>
      </c>
    </row>
    <row r="16">
      <c r="A16" t="inlineStr">
        <is>
          <t>Plan vs total budget (positive = room left)</t>
        </is>
      </c>
      <c r="B16" s="18">
        <f>B3-B15</f>
        <v/>
      </c>
      <c r="D16" s="6" t="inlineStr">
        <is>
          <t>Red = your category budgets add up to more than the total. Cut a category or raise the total.</t>
        </is>
      </c>
    </row>
    <row r="18">
      <c r="A18" s="14" t="inlineStr">
        <is>
          <t>Payment methods (edit the names if you like)</t>
        </is>
      </c>
    </row>
    <row r="19">
      <c r="A19" s="19" t="inlineStr">
        <is>
          <t>Cash</t>
        </is>
      </c>
    </row>
    <row r="20">
      <c r="A20" s="19" t="inlineStr">
        <is>
          <t>Debit card</t>
        </is>
      </c>
    </row>
    <row r="21">
      <c r="A21" s="19" t="inlineStr">
        <is>
          <t>Credit card</t>
        </is>
      </c>
      <c r="D21" s="6" t="inlineStr">
        <is>
          <t>Summary totals 'Charged to credit cards' from the 3rd name in this list.</t>
        </is>
      </c>
    </row>
    <row r="22">
      <c r="A22" s="19" t="inlineStr">
        <is>
          <t>Gift card / points</t>
        </is>
      </c>
    </row>
    <row r="23">
      <c r="A23" s="19" t="inlineStr">
        <is>
          <t>Other</t>
        </is>
      </c>
    </row>
  </sheetData>
  <conditionalFormatting sqref="B16">
    <cfRule type="expression" priority="1" dxfId="0">
      <formula>B16&lt;0</formula>
    </cfRule>
    <cfRule type="expression" priority="2" dxfId="1">
      <formula>B16&gt;=0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24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16" customWidth="1" min="10" max="10"/>
    <col width="15" customWidth="1" min="11" max="11"/>
    <col width="12" customWidth="1" min="12" max="12"/>
    <col width="26" customWidth="1" min="13" max="13"/>
  </cols>
  <sheetData>
    <row r="1" ht="45" customHeight="1">
      <c r="A1" s="7" t="inlineStr">
        <is>
          <t>Recipient</t>
        </is>
      </c>
      <c r="B1" s="7" t="inlineStr">
        <is>
          <t>Group</t>
        </is>
      </c>
      <c r="C1" s="7" t="inlineStr">
        <is>
          <t>Budget</t>
        </is>
      </c>
      <c r="D1" s="7" t="inlineStr">
        <is>
          <t>Gift idea</t>
        </is>
      </c>
      <c r="E1" s="7" t="inlineStr">
        <is>
          <t>Price paid</t>
        </is>
      </c>
      <c r="F1" s="7" t="inlineStr">
        <is>
          <t>Shipping / wrap (this gift)</t>
        </is>
      </c>
      <c r="G1" s="7" t="inlineStr">
        <is>
          <t>Total</t>
        </is>
      </c>
      <c r="H1" s="7" t="inlineStr">
        <is>
          <t>Remaining</t>
        </is>
      </c>
      <c r="I1" s="7" t="inlineStr">
        <is>
          <t>Status</t>
        </is>
      </c>
      <c r="J1" s="7" t="inlineStr">
        <is>
          <t>Bought where</t>
        </is>
      </c>
      <c r="K1" s="7" t="inlineStr">
        <is>
          <t>Paid with</t>
        </is>
      </c>
      <c r="L1" s="7" t="inlineStr">
        <is>
          <t>Return by</t>
        </is>
      </c>
      <c r="M1" s="7" t="inlineStr">
        <is>
          <t>Notes</t>
        </is>
      </c>
    </row>
    <row r="2">
      <c r="A2" s="19" t="inlineStr">
        <is>
          <t>Example: Mom</t>
        </is>
      </c>
      <c r="B2" s="19" t="inlineStr">
        <is>
          <t>Family</t>
        </is>
      </c>
      <c r="C2" s="16" t="n">
        <v>120</v>
      </c>
      <c r="D2" s="19" t="inlineStr">
        <is>
          <t>Cookbook + apron</t>
        </is>
      </c>
      <c r="E2" s="16" t="n">
        <v>64.5</v>
      </c>
      <c r="F2" s="16" t="n">
        <v>6.99</v>
      </c>
      <c r="G2" s="9">
        <f>IF(AND(E2="",F2=""),"",N(E2)+N(F2))</f>
        <v/>
      </c>
      <c r="H2" s="9">
        <f>IF(C2="","",C2-N(G2))</f>
        <v/>
      </c>
      <c r="I2" s="19" t="inlineStr">
        <is>
          <t>Bought</t>
        </is>
      </c>
      <c r="J2" s="19" t="inlineStr">
        <is>
          <t>Bookstore</t>
        </is>
      </c>
      <c r="K2" s="19" t="inlineStr">
        <is>
          <t>Credit card</t>
        </is>
      </c>
      <c r="L2" s="20" t="n">
        <v>46387</v>
      </c>
      <c r="M2" s="19" t="n"/>
    </row>
    <row r="3">
      <c r="A3" s="19" t="inlineStr">
        <is>
          <t>Example: Sam</t>
        </is>
      </c>
      <c r="B3" s="19" t="inlineStr">
        <is>
          <t>Kids</t>
        </is>
      </c>
      <c r="C3" s="16" t="n">
        <v>80</v>
      </c>
      <c r="D3" s="19" t="inlineStr">
        <is>
          <t>Building set</t>
        </is>
      </c>
      <c r="E3" s="16" t="n">
        <v>74.98999999999999</v>
      </c>
      <c r="F3" s="16" t="n">
        <v>0</v>
      </c>
      <c r="G3" s="9">
        <f>IF(AND(E3="",F3=""),"",N(E3)+N(F3))</f>
        <v/>
      </c>
      <c r="H3" s="9">
        <f>IF(C3="","",C3-N(G3))</f>
        <v/>
      </c>
      <c r="I3" s="19" t="inlineStr">
        <is>
          <t>Wrapped</t>
        </is>
      </c>
      <c r="J3" s="19" t="inlineStr">
        <is>
          <t>Online shop</t>
        </is>
      </c>
      <c r="K3" s="19" t="inlineStr">
        <is>
          <t>Debit card</t>
        </is>
      </c>
      <c r="L3" s="20" t="n">
        <v>46402</v>
      </c>
      <c r="M3" s="19" t="n"/>
    </row>
    <row r="4">
      <c r="A4" s="19" t="inlineStr">
        <is>
          <t>Example: Alex</t>
        </is>
      </c>
      <c r="B4" s="19" t="inlineStr">
        <is>
          <t>Friends</t>
        </is>
      </c>
      <c r="C4" s="16" t="n">
        <v>40</v>
      </c>
      <c r="D4" s="19" t="inlineStr">
        <is>
          <t>Board game</t>
        </is>
      </c>
      <c r="E4" s="16" t="n">
        <v>46</v>
      </c>
      <c r="F4" s="16" t="n">
        <v>4.5</v>
      </c>
      <c r="G4" s="9">
        <f>IF(AND(E4="",F4=""),"",N(E4)+N(F4))</f>
        <v/>
      </c>
      <c r="H4" s="9">
        <f>IF(C4="","",C4-N(G4))</f>
        <v/>
      </c>
      <c r="I4" s="19" t="inlineStr">
        <is>
          <t>Ordered</t>
        </is>
      </c>
      <c r="J4" s="19" t="inlineStr">
        <is>
          <t>Online shop</t>
        </is>
      </c>
      <c r="K4" s="19" t="inlineStr">
        <is>
          <t>Credit card</t>
        </is>
      </c>
      <c r="L4" s="20" t="n"/>
      <c r="M4" s="19" t="n"/>
    </row>
    <row r="5">
      <c r="A5" s="19" t="inlineStr">
        <is>
          <t>Example: Team</t>
        </is>
      </c>
      <c r="B5" s="19" t="inlineStr">
        <is>
          <t>Work</t>
        </is>
      </c>
      <c r="C5" s="16" t="n">
        <v>30</v>
      </c>
      <c r="D5" s="19" t="inlineStr">
        <is>
          <t>Snack box</t>
        </is>
      </c>
      <c r="E5" s="16" t="n"/>
      <c r="F5" s="16" t="n"/>
      <c r="G5" s="9">
        <f>IF(AND(E5="",F5=""),"",N(E5)+N(F5))</f>
        <v/>
      </c>
      <c r="H5" s="9">
        <f>IF(C5="","",C5-N(G5))</f>
        <v/>
      </c>
      <c r="I5" s="19" t="inlineStr">
        <is>
          <t>Idea</t>
        </is>
      </c>
      <c r="J5" s="19" t="n"/>
      <c r="K5" s="19" t="n"/>
      <c r="L5" s="20" t="n"/>
      <c r="M5" s="19" t="n"/>
    </row>
    <row r="6">
      <c r="A6" s="19" t="n"/>
      <c r="B6" s="19" t="n"/>
      <c r="C6" s="16" t="n"/>
      <c r="D6" s="19" t="n"/>
      <c r="E6" s="16" t="n"/>
      <c r="F6" s="16" t="n"/>
      <c r="G6" s="9">
        <f>IF(AND(E6="",F6=""),"",N(E6)+N(F6))</f>
        <v/>
      </c>
      <c r="H6" s="9">
        <f>IF(C6="","",C6-N(G6))</f>
        <v/>
      </c>
      <c r="I6" s="19" t="n"/>
      <c r="J6" s="19" t="n"/>
      <c r="K6" s="19" t="n"/>
      <c r="L6" s="20" t="n"/>
      <c r="M6" s="19" t="n"/>
    </row>
    <row r="7">
      <c r="A7" s="19" t="n"/>
      <c r="B7" s="19" t="n"/>
      <c r="C7" s="16" t="n"/>
      <c r="D7" s="19" t="n"/>
      <c r="E7" s="16" t="n"/>
      <c r="F7" s="16" t="n"/>
      <c r="G7" s="9">
        <f>IF(AND(E7="",F7=""),"",N(E7)+N(F7))</f>
        <v/>
      </c>
      <c r="H7" s="9">
        <f>IF(C7="","",C7-N(G7))</f>
        <v/>
      </c>
      <c r="I7" s="19" t="n"/>
      <c r="J7" s="19" t="n"/>
      <c r="K7" s="19" t="n"/>
      <c r="L7" s="20" t="n"/>
      <c r="M7" s="19" t="n"/>
    </row>
    <row r="8">
      <c r="A8" s="19" t="n"/>
      <c r="B8" s="19" t="n"/>
      <c r="C8" s="16" t="n"/>
      <c r="D8" s="19" t="n"/>
      <c r="E8" s="16" t="n"/>
      <c r="F8" s="16" t="n"/>
      <c r="G8" s="9">
        <f>IF(AND(E8="",F8=""),"",N(E8)+N(F8))</f>
        <v/>
      </c>
      <c r="H8" s="9">
        <f>IF(C8="","",C8-N(G8))</f>
        <v/>
      </c>
      <c r="I8" s="19" t="n"/>
      <c r="J8" s="19" t="n"/>
      <c r="K8" s="19" t="n"/>
      <c r="L8" s="20" t="n"/>
      <c r="M8" s="19" t="n"/>
    </row>
    <row r="9">
      <c r="A9" s="19" t="n"/>
      <c r="B9" s="19" t="n"/>
      <c r="C9" s="16" t="n"/>
      <c r="D9" s="19" t="n"/>
      <c r="E9" s="16" t="n"/>
      <c r="F9" s="16" t="n"/>
      <c r="G9" s="9">
        <f>IF(AND(E9="",F9=""),"",N(E9)+N(F9))</f>
        <v/>
      </c>
      <c r="H9" s="9">
        <f>IF(C9="","",C9-N(G9))</f>
        <v/>
      </c>
      <c r="I9" s="19" t="n"/>
      <c r="J9" s="19" t="n"/>
      <c r="K9" s="19" t="n"/>
      <c r="L9" s="20" t="n"/>
      <c r="M9" s="19" t="n"/>
    </row>
    <row r="10">
      <c r="A10" s="19" t="n"/>
      <c r="B10" s="19" t="n"/>
      <c r="C10" s="16" t="n"/>
      <c r="D10" s="19" t="n"/>
      <c r="E10" s="16" t="n"/>
      <c r="F10" s="16" t="n"/>
      <c r="G10" s="9">
        <f>IF(AND(E10="",F10=""),"",N(E10)+N(F10))</f>
        <v/>
      </c>
      <c r="H10" s="9">
        <f>IF(C10="","",C10-N(G10))</f>
        <v/>
      </c>
      <c r="I10" s="19" t="n"/>
      <c r="J10" s="19" t="n"/>
      <c r="K10" s="19" t="n"/>
      <c r="L10" s="20" t="n"/>
      <c r="M10" s="19" t="n"/>
    </row>
    <row r="11">
      <c r="A11" s="19" t="n"/>
      <c r="B11" s="19" t="n"/>
      <c r="C11" s="16" t="n"/>
      <c r="D11" s="19" t="n"/>
      <c r="E11" s="16" t="n"/>
      <c r="F11" s="16" t="n"/>
      <c r="G11" s="9">
        <f>IF(AND(E11="",F11=""),"",N(E11)+N(F11))</f>
        <v/>
      </c>
      <c r="H11" s="9">
        <f>IF(C11="","",C11-N(G11))</f>
        <v/>
      </c>
      <c r="I11" s="19" t="n"/>
      <c r="J11" s="19" t="n"/>
      <c r="K11" s="19" t="n"/>
      <c r="L11" s="20" t="n"/>
      <c r="M11" s="19" t="n"/>
    </row>
    <row r="12">
      <c r="A12" s="19" t="n"/>
      <c r="B12" s="19" t="n"/>
      <c r="C12" s="16" t="n"/>
      <c r="D12" s="19" t="n"/>
      <c r="E12" s="16" t="n"/>
      <c r="F12" s="16" t="n"/>
      <c r="G12" s="9">
        <f>IF(AND(E12="",F12=""),"",N(E12)+N(F12))</f>
        <v/>
      </c>
      <c r="H12" s="9">
        <f>IF(C12="","",C12-N(G12))</f>
        <v/>
      </c>
      <c r="I12" s="19" t="n"/>
      <c r="J12" s="19" t="n"/>
      <c r="K12" s="19" t="n"/>
      <c r="L12" s="20" t="n"/>
      <c r="M12" s="19" t="n"/>
    </row>
    <row r="13">
      <c r="A13" s="19" t="n"/>
      <c r="B13" s="19" t="n"/>
      <c r="C13" s="16" t="n"/>
      <c r="D13" s="19" t="n"/>
      <c r="E13" s="16" t="n"/>
      <c r="F13" s="16" t="n"/>
      <c r="G13" s="9">
        <f>IF(AND(E13="",F13=""),"",N(E13)+N(F13))</f>
        <v/>
      </c>
      <c r="H13" s="9">
        <f>IF(C13="","",C13-N(G13))</f>
        <v/>
      </c>
      <c r="I13" s="19" t="n"/>
      <c r="J13" s="19" t="n"/>
      <c r="K13" s="19" t="n"/>
      <c r="L13" s="20" t="n"/>
      <c r="M13" s="19" t="n"/>
    </row>
    <row r="14">
      <c r="A14" s="19" t="n"/>
      <c r="B14" s="19" t="n"/>
      <c r="C14" s="16" t="n"/>
      <c r="D14" s="19" t="n"/>
      <c r="E14" s="16" t="n"/>
      <c r="F14" s="16" t="n"/>
      <c r="G14" s="9">
        <f>IF(AND(E14="",F14=""),"",N(E14)+N(F14))</f>
        <v/>
      </c>
      <c r="H14" s="9">
        <f>IF(C14="","",C14-N(G14))</f>
        <v/>
      </c>
      <c r="I14" s="19" t="n"/>
      <c r="J14" s="19" t="n"/>
      <c r="K14" s="19" t="n"/>
      <c r="L14" s="20" t="n"/>
      <c r="M14" s="19" t="n"/>
    </row>
    <row r="15">
      <c r="A15" s="19" t="n"/>
      <c r="B15" s="19" t="n"/>
      <c r="C15" s="16" t="n"/>
      <c r="D15" s="19" t="n"/>
      <c r="E15" s="16" t="n"/>
      <c r="F15" s="16" t="n"/>
      <c r="G15" s="9">
        <f>IF(AND(E15="",F15=""),"",N(E15)+N(F15))</f>
        <v/>
      </c>
      <c r="H15" s="9">
        <f>IF(C15="","",C15-N(G15))</f>
        <v/>
      </c>
      <c r="I15" s="19" t="n"/>
      <c r="J15" s="19" t="n"/>
      <c r="K15" s="19" t="n"/>
      <c r="L15" s="20" t="n"/>
      <c r="M15" s="19" t="n"/>
    </row>
    <row r="16">
      <c r="A16" s="19" t="n"/>
      <c r="B16" s="19" t="n"/>
      <c r="C16" s="16" t="n"/>
      <c r="D16" s="19" t="n"/>
      <c r="E16" s="16" t="n"/>
      <c r="F16" s="16" t="n"/>
      <c r="G16" s="9">
        <f>IF(AND(E16="",F16=""),"",N(E16)+N(F16))</f>
        <v/>
      </c>
      <c r="H16" s="9">
        <f>IF(C16="","",C16-N(G16))</f>
        <v/>
      </c>
      <c r="I16" s="19" t="n"/>
      <c r="J16" s="19" t="n"/>
      <c r="K16" s="19" t="n"/>
      <c r="L16" s="20" t="n"/>
      <c r="M16" s="19" t="n"/>
    </row>
    <row r="17">
      <c r="A17" s="19" t="n"/>
      <c r="B17" s="19" t="n"/>
      <c r="C17" s="16" t="n"/>
      <c r="D17" s="19" t="n"/>
      <c r="E17" s="16" t="n"/>
      <c r="F17" s="16" t="n"/>
      <c r="G17" s="9">
        <f>IF(AND(E17="",F17=""),"",N(E17)+N(F17))</f>
        <v/>
      </c>
      <c r="H17" s="9">
        <f>IF(C17="","",C17-N(G17))</f>
        <v/>
      </c>
      <c r="I17" s="19" t="n"/>
      <c r="J17" s="19" t="n"/>
      <c r="K17" s="19" t="n"/>
      <c r="L17" s="20" t="n"/>
      <c r="M17" s="19" t="n"/>
    </row>
    <row r="18">
      <c r="A18" s="19" t="n"/>
      <c r="B18" s="19" t="n"/>
      <c r="C18" s="16" t="n"/>
      <c r="D18" s="19" t="n"/>
      <c r="E18" s="16" t="n"/>
      <c r="F18" s="16" t="n"/>
      <c r="G18" s="9">
        <f>IF(AND(E18="",F18=""),"",N(E18)+N(F18))</f>
        <v/>
      </c>
      <c r="H18" s="9">
        <f>IF(C18="","",C18-N(G18))</f>
        <v/>
      </c>
      <c r="I18" s="19" t="n"/>
      <c r="J18" s="19" t="n"/>
      <c r="K18" s="19" t="n"/>
      <c r="L18" s="20" t="n"/>
      <c r="M18" s="19" t="n"/>
    </row>
    <row r="19">
      <c r="A19" s="19" t="n"/>
      <c r="B19" s="19" t="n"/>
      <c r="C19" s="16" t="n"/>
      <c r="D19" s="19" t="n"/>
      <c r="E19" s="16" t="n"/>
      <c r="F19" s="16" t="n"/>
      <c r="G19" s="9">
        <f>IF(AND(E19="",F19=""),"",N(E19)+N(F19))</f>
        <v/>
      </c>
      <c r="H19" s="9">
        <f>IF(C19="","",C19-N(G19))</f>
        <v/>
      </c>
      <c r="I19" s="19" t="n"/>
      <c r="J19" s="19" t="n"/>
      <c r="K19" s="19" t="n"/>
      <c r="L19" s="20" t="n"/>
      <c r="M19" s="19" t="n"/>
    </row>
    <row r="20">
      <c r="A20" s="19" t="n"/>
      <c r="B20" s="19" t="n"/>
      <c r="C20" s="16" t="n"/>
      <c r="D20" s="19" t="n"/>
      <c r="E20" s="16" t="n"/>
      <c r="F20" s="16" t="n"/>
      <c r="G20" s="9">
        <f>IF(AND(E20="",F20=""),"",N(E20)+N(F20))</f>
        <v/>
      </c>
      <c r="H20" s="9">
        <f>IF(C20="","",C20-N(G20))</f>
        <v/>
      </c>
      <c r="I20" s="19" t="n"/>
      <c r="J20" s="19" t="n"/>
      <c r="K20" s="19" t="n"/>
      <c r="L20" s="20" t="n"/>
      <c r="M20" s="19" t="n"/>
    </row>
    <row r="21">
      <c r="A21" s="19" t="n"/>
      <c r="B21" s="19" t="n"/>
      <c r="C21" s="16" t="n"/>
      <c r="D21" s="19" t="n"/>
      <c r="E21" s="16" t="n"/>
      <c r="F21" s="16" t="n"/>
      <c r="G21" s="9">
        <f>IF(AND(E21="",F21=""),"",N(E21)+N(F21))</f>
        <v/>
      </c>
      <c r="H21" s="9">
        <f>IF(C21="","",C21-N(G21))</f>
        <v/>
      </c>
      <c r="I21" s="19" t="n"/>
      <c r="J21" s="19" t="n"/>
      <c r="K21" s="19" t="n"/>
      <c r="L21" s="20" t="n"/>
      <c r="M21" s="19" t="n"/>
    </row>
    <row r="22">
      <c r="A22" s="19" t="n"/>
      <c r="B22" s="19" t="n"/>
      <c r="C22" s="16" t="n"/>
      <c r="D22" s="19" t="n"/>
      <c r="E22" s="16" t="n"/>
      <c r="F22" s="16" t="n"/>
      <c r="G22" s="9">
        <f>IF(AND(E22="",F22=""),"",N(E22)+N(F22))</f>
        <v/>
      </c>
      <c r="H22" s="9">
        <f>IF(C22="","",C22-N(G22))</f>
        <v/>
      </c>
      <c r="I22" s="19" t="n"/>
      <c r="J22" s="19" t="n"/>
      <c r="K22" s="19" t="n"/>
      <c r="L22" s="20" t="n"/>
      <c r="M22" s="19" t="n"/>
    </row>
    <row r="23">
      <c r="A23" s="19" t="n"/>
      <c r="B23" s="19" t="n"/>
      <c r="C23" s="16" t="n"/>
      <c r="D23" s="19" t="n"/>
      <c r="E23" s="16" t="n"/>
      <c r="F23" s="16" t="n"/>
      <c r="G23" s="9">
        <f>IF(AND(E23="",F23=""),"",N(E23)+N(F23))</f>
        <v/>
      </c>
      <c r="H23" s="9">
        <f>IF(C23="","",C23-N(G23))</f>
        <v/>
      </c>
      <c r="I23" s="19" t="n"/>
      <c r="J23" s="19" t="n"/>
      <c r="K23" s="19" t="n"/>
      <c r="L23" s="20" t="n"/>
      <c r="M23" s="19" t="n"/>
    </row>
    <row r="24">
      <c r="A24" s="19" t="n"/>
      <c r="B24" s="19" t="n"/>
      <c r="C24" s="16" t="n"/>
      <c r="D24" s="19" t="n"/>
      <c r="E24" s="16" t="n"/>
      <c r="F24" s="16" t="n"/>
      <c r="G24" s="9">
        <f>IF(AND(E24="",F24=""),"",N(E24)+N(F24))</f>
        <v/>
      </c>
      <c r="H24" s="9">
        <f>IF(C24="","",C24-N(G24))</f>
        <v/>
      </c>
      <c r="I24" s="19" t="n"/>
      <c r="J24" s="19" t="n"/>
      <c r="K24" s="19" t="n"/>
      <c r="L24" s="20" t="n"/>
      <c r="M24" s="19" t="n"/>
    </row>
    <row r="25">
      <c r="A25" s="19" t="n"/>
      <c r="B25" s="19" t="n"/>
      <c r="C25" s="16" t="n"/>
      <c r="D25" s="19" t="n"/>
      <c r="E25" s="16" t="n"/>
      <c r="F25" s="16" t="n"/>
      <c r="G25" s="9">
        <f>IF(AND(E25="",F25=""),"",N(E25)+N(F25))</f>
        <v/>
      </c>
      <c r="H25" s="9">
        <f>IF(C25="","",C25-N(G25))</f>
        <v/>
      </c>
      <c r="I25" s="19" t="n"/>
      <c r="J25" s="19" t="n"/>
      <c r="K25" s="19" t="n"/>
      <c r="L25" s="20" t="n"/>
      <c r="M25" s="19" t="n"/>
    </row>
    <row r="26">
      <c r="A26" s="19" t="n"/>
      <c r="B26" s="19" t="n"/>
      <c r="C26" s="16" t="n"/>
      <c r="D26" s="19" t="n"/>
      <c r="E26" s="16" t="n"/>
      <c r="F26" s="16" t="n"/>
      <c r="G26" s="9">
        <f>IF(AND(E26="",F26=""),"",N(E26)+N(F26))</f>
        <v/>
      </c>
      <c r="H26" s="9">
        <f>IF(C26="","",C26-N(G26))</f>
        <v/>
      </c>
      <c r="I26" s="19" t="n"/>
      <c r="J26" s="19" t="n"/>
      <c r="K26" s="19" t="n"/>
      <c r="L26" s="20" t="n"/>
      <c r="M26" s="19" t="n"/>
    </row>
    <row r="27">
      <c r="A27" s="19" t="n"/>
      <c r="B27" s="19" t="n"/>
      <c r="C27" s="16" t="n"/>
      <c r="D27" s="19" t="n"/>
      <c r="E27" s="16" t="n"/>
      <c r="F27" s="16" t="n"/>
      <c r="G27" s="9">
        <f>IF(AND(E27="",F27=""),"",N(E27)+N(F27))</f>
        <v/>
      </c>
      <c r="H27" s="9">
        <f>IF(C27="","",C27-N(G27))</f>
        <v/>
      </c>
      <c r="I27" s="19" t="n"/>
      <c r="J27" s="19" t="n"/>
      <c r="K27" s="19" t="n"/>
      <c r="L27" s="20" t="n"/>
      <c r="M27" s="19" t="n"/>
    </row>
    <row r="28">
      <c r="A28" s="19" t="n"/>
      <c r="B28" s="19" t="n"/>
      <c r="C28" s="16" t="n"/>
      <c r="D28" s="19" t="n"/>
      <c r="E28" s="16" t="n"/>
      <c r="F28" s="16" t="n"/>
      <c r="G28" s="9">
        <f>IF(AND(E28="",F28=""),"",N(E28)+N(F28))</f>
        <v/>
      </c>
      <c r="H28" s="9">
        <f>IF(C28="","",C28-N(G28))</f>
        <v/>
      </c>
      <c r="I28" s="19" t="n"/>
      <c r="J28" s="19" t="n"/>
      <c r="K28" s="19" t="n"/>
      <c r="L28" s="20" t="n"/>
      <c r="M28" s="19" t="n"/>
    </row>
    <row r="29">
      <c r="A29" s="19" t="n"/>
      <c r="B29" s="19" t="n"/>
      <c r="C29" s="16" t="n"/>
      <c r="D29" s="19" t="n"/>
      <c r="E29" s="16" t="n"/>
      <c r="F29" s="16" t="n"/>
      <c r="G29" s="9">
        <f>IF(AND(E29="",F29=""),"",N(E29)+N(F29))</f>
        <v/>
      </c>
      <c r="H29" s="9">
        <f>IF(C29="","",C29-N(G29))</f>
        <v/>
      </c>
      <c r="I29" s="19" t="n"/>
      <c r="J29" s="19" t="n"/>
      <c r="K29" s="19" t="n"/>
      <c r="L29" s="20" t="n"/>
      <c r="M29" s="19" t="n"/>
    </row>
    <row r="30">
      <c r="A30" s="19" t="n"/>
      <c r="B30" s="19" t="n"/>
      <c r="C30" s="16" t="n"/>
      <c r="D30" s="19" t="n"/>
      <c r="E30" s="16" t="n"/>
      <c r="F30" s="16" t="n"/>
      <c r="G30" s="9">
        <f>IF(AND(E30="",F30=""),"",N(E30)+N(F30))</f>
        <v/>
      </c>
      <c r="H30" s="9">
        <f>IF(C30="","",C30-N(G30))</f>
        <v/>
      </c>
      <c r="I30" s="19" t="n"/>
      <c r="J30" s="19" t="n"/>
      <c r="K30" s="19" t="n"/>
      <c r="L30" s="20" t="n"/>
      <c r="M30" s="19" t="n"/>
    </row>
    <row r="31">
      <c r="A31" s="19" t="n"/>
      <c r="B31" s="19" t="n"/>
      <c r="C31" s="16" t="n"/>
      <c r="D31" s="19" t="n"/>
      <c r="E31" s="16" t="n"/>
      <c r="F31" s="16" t="n"/>
      <c r="G31" s="9">
        <f>IF(AND(E31="",F31=""),"",N(E31)+N(F31))</f>
        <v/>
      </c>
      <c r="H31" s="9">
        <f>IF(C31="","",C31-N(G31))</f>
        <v/>
      </c>
      <c r="I31" s="19" t="n"/>
      <c r="J31" s="19" t="n"/>
      <c r="K31" s="19" t="n"/>
      <c r="L31" s="20" t="n"/>
      <c r="M31" s="19" t="n"/>
    </row>
    <row r="32">
      <c r="A32" s="19" t="n"/>
      <c r="B32" s="19" t="n"/>
      <c r="C32" s="16" t="n"/>
      <c r="D32" s="19" t="n"/>
      <c r="E32" s="16" t="n"/>
      <c r="F32" s="16" t="n"/>
      <c r="G32" s="9">
        <f>IF(AND(E32="",F32=""),"",N(E32)+N(F32))</f>
        <v/>
      </c>
      <c r="H32" s="9">
        <f>IF(C32="","",C32-N(G32))</f>
        <v/>
      </c>
      <c r="I32" s="19" t="n"/>
      <c r="J32" s="19" t="n"/>
      <c r="K32" s="19" t="n"/>
      <c r="L32" s="20" t="n"/>
      <c r="M32" s="19" t="n"/>
    </row>
    <row r="33">
      <c r="A33" s="19" t="n"/>
      <c r="B33" s="19" t="n"/>
      <c r="C33" s="16" t="n"/>
      <c r="D33" s="19" t="n"/>
      <c r="E33" s="16" t="n"/>
      <c r="F33" s="16" t="n"/>
      <c r="G33" s="9">
        <f>IF(AND(E33="",F33=""),"",N(E33)+N(F33))</f>
        <v/>
      </c>
      <c r="H33" s="9">
        <f>IF(C33="","",C33-N(G33))</f>
        <v/>
      </c>
      <c r="I33" s="19" t="n"/>
      <c r="J33" s="19" t="n"/>
      <c r="K33" s="19" t="n"/>
      <c r="L33" s="20" t="n"/>
      <c r="M33" s="19" t="n"/>
    </row>
    <row r="34">
      <c r="A34" s="19" t="n"/>
      <c r="B34" s="19" t="n"/>
      <c r="C34" s="16" t="n"/>
      <c r="D34" s="19" t="n"/>
      <c r="E34" s="16" t="n"/>
      <c r="F34" s="16" t="n"/>
      <c r="G34" s="9">
        <f>IF(AND(E34="",F34=""),"",N(E34)+N(F34))</f>
        <v/>
      </c>
      <c r="H34" s="9">
        <f>IF(C34="","",C34-N(G34))</f>
        <v/>
      </c>
      <c r="I34" s="19" t="n"/>
      <c r="J34" s="19" t="n"/>
      <c r="K34" s="19" t="n"/>
      <c r="L34" s="20" t="n"/>
      <c r="M34" s="19" t="n"/>
    </row>
    <row r="35">
      <c r="A35" s="19" t="n"/>
      <c r="B35" s="19" t="n"/>
      <c r="C35" s="16" t="n"/>
      <c r="D35" s="19" t="n"/>
      <c r="E35" s="16" t="n"/>
      <c r="F35" s="16" t="n"/>
      <c r="G35" s="9">
        <f>IF(AND(E35="",F35=""),"",N(E35)+N(F35))</f>
        <v/>
      </c>
      <c r="H35" s="9">
        <f>IF(C35="","",C35-N(G35))</f>
        <v/>
      </c>
      <c r="I35" s="19" t="n"/>
      <c r="J35" s="19" t="n"/>
      <c r="K35" s="19" t="n"/>
      <c r="L35" s="20" t="n"/>
      <c r="M35" s="19" t="n"/>
    </row>
    <row r="36">
      <c r="A36" s="19" t="n"/>
      <c r="B36" s="19" t="n"/>
      <c r="C36" s="16" t="n"/>
      <c r="D36" s="19" t="n"/>
      <c r="E36" s="16" t="n"/>
      <c r="F36" s="16" t="n"/>
      <c r="G36" s="9">
        <f>IF(AND(E36="",F36=""),"",N(E36)+N(F36))</f>
        <v/>
      </c>
      <c r="H36" s="9">
        <f>IF(C36="","",C36-N(G36))</f>
        <v/>
      </c>
      <c r="I36" s="19" t="n"/>
      <c r="J36" s="19" t="n"/>
      <c r="K36" s="19" t="n"/>
      <c r="L36" s="20" t="n"/>
      <c r="M36" s="19" t="n"/>
    </row>
    <row r="37">
      <c r="A37" s="19" t="n"/>
      <c r="B37" s="19" t="n"/>
      <c r="C37" s="16" t="n"/>
      <c r="D37" s="19" t="n"/>
      <c r="E37" s="16" t="n"/>
      <c r="F37" s="16" t="n"/>
      <c r="G37" s="9">
        <f>IF(AND(E37="",F37=""),"",N(E37)+N(F37))</f>
        <v/>
      </c>
      <c r="H37" s="9">
        <f>IF(C37="","",C37-N(G37))</f>
        <v/>
      </c>
      <c r="I37" s="19" t="n"/>
      <c r="J37" s="19" t="n"/>
      <c r="K37" s="19" t="n"/>
      <c r="L37" s="20" t="n"/>
      <c r="M37" s="19" t="n"/>
    </row>
    <row r="38">
      <c r="A38" s="19" t="n"/>
      <c r="B38" s="19" t="n"/>
      <c r="C38" s="16" t="n"/>
      <c r="D38" s="19" t="n"/>
      <c r="E38" s="16" t="n"/>
      <c r="F38" s="16" t="n"/>
      <c r="G38" s="9">
        <f>IF(AND(E38="",F38=""),"",N(E38)+N(F38))</f>
        <v/>
      </c>
      <c r="H38" s="9">
        <f>IF(C38="","",C38-N(G38))</f>
        <v/>
      </c>
      <c r="I38" s="19" t="n"/>
      <c r="J38" s="19" t="n"/>
      <c r="K38" s="19" t="n"/>
      <c r="L38" s="20" t="n"/>
      <c r="M38" s="19" t="n"/>
    </row>
    <row r="39">
      <c r="A39" s="19" t="n"/>
      <c r="B39" s="19" t="n"/>
      <c r="C39" s="16" t="n"/>
      <c r="D39" s="19" t="n"/>
      <c r="E39" s="16" t="n"/>
      <c r="F39" s="16" t="n"/>
      <c r="G39" s="9">
        <f>IF(AND(E39="",F39=""),"",N(E39)+N(F39))</f>
        <v/>
      </c>
      <c r="H39" s="9">
        <f>IF(C39="","",C39-N(G39))</f>
        <v/>
      </c>
      <c r="I39" s="19" t="n"/>
      <c r="J39" s="19" t="n"/>
      <c r="K39" s="19" t="n"/>
      <c r="L39" s="20" t="n"/>
      <c r="M39" s="19" t="n"/>
    </row>
    <row r="40">
      <c r="A40" s="19" t="n"/>
      <c r="B40" s="19" t="n"/>
      <c r="C40" s="16" t="n"/>
      <c r="D40" s="19" t="n"/>
      <c r="E40" s="16" t="n"/>
      <c r="F40" s="16" t="n"/>
      <c r="G40" s="9">
        <f>IF(AND(E40="",F40=""),"",N(E40)+N(F40))</f>
        <v/>
      </c>
      <c r="H40" s="9">
        <f>IF(C40="","",C40-N(G40))</f>
        <v/>
      </c>
      <c r="I40" s="19" t="n"/>
      <c r="J40" s="19" t="n"/>
      <c r="K40" s="19" t="n"/>
      <c r="L40" s="20" t="n"/>
      <c r="M40" s="19" t="n"/>
    </row>
    <row r="41">
      <c r="A41" s="19" t="n"/>
      <c r="B41" s="19" t="n"/>
      <c r="C41" s="16" t="n"/>
      <c r="D41" s="19" t="n"/>
      <c r="E41" s="16" t="n"/>
      <c r="F41" s="16" t="n"/>
      <c r="G41" s="9">
        <f>IF(AND(E41="",F41=""),"",N(E41)+N(F41))</f>
        <v/>
      </c>
      <c r="H41" s="9">
        <f>IF(C41="","",C41-N(G41))</f>
        <v/>
      </c>
      <c r="I41" s="19" t="n"/>
      <c r="J41" s="19" t="n"/>
      <c r="K41" s="19" t="n"/>
      <c r="L41" s="20" t="n"/>
      <c r="M41" s="19" t="n"/>
    </row>
    <row r="42">
      <c r="A42" s="19" t="n"/>
      <c r="B42" s="19" t="n"/>
      <c r="C42" s="16" t="n"/>
      <c r="D42" s="19" t="n"/>
      <c r="E42" s="16" t="n"/>
      <c r="F42" s="16" t="n"/>
      <c r="G42" s="9">
        <f>IF(AND(E42="",F42=""),"",N(E42)+N(F42))</f>
        <v/>
      </c>
      <c r="H42" s="9">
        <f>IF(C42="","",C42-N(G42))</f>
        <v/>
      </c>
      <c r="I42" s="19" t="n"/>
      <c r="J42" s="19" t="n"/>
      <c r="K42" s="19" t="n"/>
      <c r="L42" s="20" t="n"/>
      <c r="M42" s="19" t="n"/>
    </row>
    <row r="43">
      <c r="A43" s="19" t="n"/>
      <c r="B43" s="19" t="n"/>
      <c r="C43" s="16" t="n"/>
      <c r="D43" s="19" t="n"/>
      <c r="E43" s="16" t="n"/>
      <c r="F43" s="16" t="n"/>
      <c r="G43" s="9">
        <f>IF(AND(E43="",F43=""),"",N(E43)+N(F43))</f>
        <v/>
      </c>
      <c r="H43" s="9">
        <f>IF(C43="","",C43-N(G43))</f>
        <v/>
      </c>
      <c r="I43" s="19" t="n"/>
      <c r="J43" s="19" t="n"/>
      <c r="K43" s="19" t="n"/>
      <c r="L43" s="20" t="n"/>
      <c r="M43" s="19" t="n"/>
    </row>
    <row r="44">
      <c r="A44" s="19" t="n"/>
      <c r="B44" s="19" t="n"/>
      <c r="C44" s="16" t="n"/>
      <c r="D44" s="19" t="n"/>
      <c r="E44" s="16" t="n"/>
      <c r="F44" s="16" t="n"/>
      <c r="G44" s="9">
        <f>IF(AND(E44="",F44=""),"",N(E44)+N(F44))</f>
        <v/>
      </c>
      <c r="H44" s="9">
        <f>IF(C44="","",C44-N(G44))</f>
        <v/>
      </c>
      <c r="I44" s="19" t="n"/>
      <c r="J44" s="19" t="n"/>
      <c r="K44" s="19" t="n"/>
      <c r="L44" s="20" t="n"/>
      <c r="M44" s="19" t="n"/>
    </row>
    <row r="45">
      <c r="A45" s="19" t="n"/>
      <c r="B45" s="19" t="n"/>
      <c r="C45" s="16" t="n"/>
      <c r="D45" s="19" t="n"/>
      <c r="E45" s="16" t="n"/>
      <c r="F45" s="16" t="n"/>
      <c r="G45" s="9">
        <f>IF(AND(E45="",F45=""),"",N(E45)+N(F45))</f>
        <v/>
      </c>
      <c r="H45" s="9">
        <f>IF(C45="","",C45-N(G45))</f>
        <v/>
      </c>
      <c r="I45" s="19" t="n"/>
      <c r="J45" s="19" t="n"/>
      <c r="K45" s="19" t="n"/>
      <c r="L45" s="20" t="n"/>
      <c r="M45" s="19" t="n"/>
    </row>
    <row r="46">
      <c r="A46" s="19" t="n"/>
      <c r="B46" s="19" t="n"/>
      <c r="C46" s="16" t="n"/>
      <c r="D46" s="19" t="n"/>
      <c r="E46" s="16" t="n"/>
      <c r="F46" s="16" t="n"/>
      <c r="G46" s="9">
        <f>IF(AND(E46="",F46=""),"",N(E46)+N(F46))</f>
        <v/>
      </c>
      <c r="H46" s="9">
        <f>IF(C46="","",C46-N(G46))</f>
        <v/>
      </c>
      <c r="I46" s="19" t="n"/>
      <c r="J46" s="19" t="n"/>
      <c r="K46" s="19" t="n"/>
      <c r="L46" s="20" t="n"/>
      <c r="M46" s="19" t="n"/>
    </row>
    <row r="47">
      <c r="A47" s="19" t="n"/>
      <c r="B47" s="19" t="n"/>
      <c r="C47" s="16" t="n"/>
      <c r="D47" s="19" t="n"/>
      <c r="E47" s="16" t="n"/>
      <c r="F47" s="16" t="n"/>
      <c r="G47" s="9">
        <f>IF(AND(E47="",F47=""),"",N(E47)+N(F47))</f>
        <v/>
      </c>
      <c r="H47" s="9">
        <f>IF(C47="","",C47-N(G47))</f>
        <v/>
      </c>
      <c r="I47" s="19" t="n"/>
      <c r="J47" s="19" t="n"/>
      <c r="K47" s="19" t="n"/>
      <c r="L47" s="20" t="n"/>
      <c r="M47" s="19" t="n"/>
    </row>
    <row r="48">
      <c r="A48" s="19" t="n"/>
      <c r="B48" s="19" t="n"/>
      <c r="C48" s="16" t="n"/>
      <c r="D48" s="19" t="n"/>
      <c r="E48" s="16" t="n"/>
      <c r="F48" s="16" t="n"/>
      <c r="G48" s="9">
        <f>IF(AND(E48="",F48=""),"",N(E48)+N(F48))</f>
        <v/>
      </c>
      <c r="H48" s="9">
        <f>IF(C48="","",C48-N(G48))</f>
        <v/>
      </c>
      <c r="I48" s="19" t="n"/>
      <c r="J48" s="19" t="n"/>
      <c r="K48" s="19" t="n"/>
      <c r="L48" s="20" t="n"/>
      <c r="M48" s="19" t="n"/>
    </row>
    <row r="49">
      <c r="A49" s="19" t="n"/>
      <c r="B49" s="19" t="n"/>
      <c r="C49" s="16" t="n"/>
      <c r="D49" s="19" t="n"/>
      <c r="E49" s="16" t="n"/>
      <c r="F49" s="16" t="n"/>
      <c r="G49" s="9">
        <f>IF(AND(E49="",F49=""),"",N(E49)+N(F49))</f>
        <v/>
      </c>
      <c r="H49" s="9">
        <f>IF(C49="","",C49-N(G49))</f>
        <v/>
      </c>
      <c r="I49" s="19" t="n"/>
      <c r="J49" s="19" t="n"/>
      <c r="K49" s="19" t="n"/>
      <c r="L49" s="20" t="n"/>
      <c r="M49" s="19" t="n"/>
    </row>
    <row r="50">
      <c r="A50" s="19" t="n"/>
      <c r="B50" s="19" t="n"/>
      <c r="C50" s="16" t="n"/>
      <c r="D50" s="19" t="n"/>
      <c r="E50" s="16" t="n"/>
      <c r="F50" s="16" t="n"/>
      <c r="G50" s="9">
        <f>IF(AND(E50="",F50=""),"",N(E50)+N(F50))</f>
        <v/>
      </c>
      <c r="H50" s="9">
        <f>IF(C50="","",C50-N(G50))</f>
        <v/>
      </c>
      <c r="I50" s="19" t="n"/>
      <c r="J50" s="19" t="n"/>
      <c r="K50" s="19" t="n"/>
      <c r="L50" s="20" t="n"/>
      <c r="M50" s="19" t="n"/>
    </row>
    <row r="51">
      <c r="A51" s="19" t="n"/>
      <c r="B51" s="19" t="n"/>
      <c r="C51" s="16" t="n"/>
      <c r="D51" s="19" t="n"/>
      <c r="E51" s="16" t="n"/>
      <c r="F51" s="16" t="n"/>
      <c r="G51" s="9">
        <f>IF(AND(E51="",F51=""),"",N(E51)+N(F51))</f>
        <v/>
      </c>
      <c r="H51" s="9">
        <f>IF(C51="","",C51-N(G51))</f>
        <v/>
      </c>
      <c r="I51" s="19" t="n"/>
      <c r="J51" s="19" t="n"/>
      <c r="K51" s="19" t="n"/>
      <c r="L51" s="20" t="n"/>
      <c r="M51" s="19" t="n"/>
    </row>
    <row r="52">
      <c r="A52" s="19" t="n"/>
      <c r="B52" s="19" t="n"/>
      <c r="C52" s="16" t="n"/>
      <c r="D52" s="19" t="n"/>
      <c r="E52" s="16" t="n"/>
      <c r="F52" s="16" t="n"/>
      <c r="G52" s="9">
        <f>IF(AND(E52="",F52=""),"",N(E52)+N(F52))</f>
        <v/>
      </c>
      <c r="H52" s="9">
        <f>IF(C52="","",C52-N(G52))</f>
        <v/>
      </c>
      <c r="I52" s="19" t="n"/>
      <c r="J52" s="19" t="n"/>
      <c r="K52" s="19" t="n"/>
      <c r="L52" s="20" t="n"/>
      <c r="M52" s="19" t="n"/>
    </row>
    <row r="53">
      <c r="A53" s="19" t="n"/>
      <c r="B53" s="19" t="n"/>
      <c r="C53" s="16" t="n"/>
      <c r="D53" s="19" t="n"/>
      <c r="E53" s="16" t="n"/>
      <c r="F53" s="16" t="n"/>
      <c r="G53" s="9">
        <f>IF(AND(E53="",F53=""),"",N(E53)+N(F53))</f>
        <v/>
      </c>
      <c r="H53" s="9">
        <f>IF(C53="","",C53-N(G53))</f>
        <v/>
      </c>
      <c r="I53" s="19" t="n"/>
      <c r="J53" s="19" t="n"/>
      <c r="K53" s="19" t="n"/>
      <c r="L53" s="20" t="n"/>
      <c r="M53" s="19" t="n"/>
    </row>
    <row r="54">
      <c r="A54" s="19" t="n"/>
      <c r="B54" s="19" t="n"/>
      <c r="C54" s="16" t="n"/>
      <c r="D54" s="19" t="n"/>
      <c r="E54" s="16" t="n"/>
      <c r="F54" s="16" t="n"/>
      <c r="G54" s="9">
        <f>IF(AND(E54="",F54=""),"",N(E54)+N(F54))</f>
        <v/>
      </c>
      <c r="H54" s="9">
        <f>IF(C54="","",C54-N(G54))</f>
        <v/>
      </c>
      <c r="I54" s="19" t="n"/>
      <c r="J54" s="19" t="n"/>
      <c r="K54" s="19" t="n"/>
      <c r="L54" s="20" t="n"/>
      <c r="M54" s="19" t="n"/>
    </row>
    <row r="55">
      <c r="A55" s="19" t="n"/>
      <c r="B55" s="19" t="n"/>
      <c r="C55" s="16" t="n"/>
      <c r="D55" s="19" t="n"/>
      <c r="E55" s="16" t="n"/>
      <c r="F55" s="16" t="n"/>
      <c r="G55" s="9">
        <f>IF(AND(E55="",F55=""),"",N(E55)+N(F55))</f>
        <v/>
      </c>
      <c r="H55" s="9">
        <f>IF(C55="","",C55-N(G55))</f>
        <v/>
      </c>
      <c r="I55" s="19" t="n"/>
      <c r="J55" s="19" t="n"/>
      <c r="K55" s="19" t="n"/>
      <c r="L55" s="20" t="n"/>
      <c r="M55" s="19" t="n"/>
    </row>
    <row r="56">
      <c r="A56" s="19" t="n"/>
      <c r="B56" s="19" t="n"/>
      <c r="C56" s="16" t="n"/>
      <c r="D56" s="19" t="n"/>
      <c r="E56" s="16" t="n"/>
      <c r="F56" s="16" t="n"/>
      <c r="G56" s="9">
        <f>IF(AND(E56="",F56=""),"",N(E56)+N(F56))</f>
        <v/>
      </c>
      <c r="H56" s="9">
        <f>IF(C56="","",C56-N(G56))</f>
        <v/>
      </c>
      <c r="I56" s="19" t="n"/>
      <c r="J56" s="19" t="n"/>
      <c r="K56" s="19" t="n"/>
      <c r="L56" s="20" t="n"/>
      <c r="M56" s="19" t="n"/>
    </row>
    <row r="57">
      <c r="A57" s="19" t="n"/>
      <c r="B57" s="19" t="n"/>
      <c r="C57" s="16" t="n"/>
      <c r="D57" s="19" t="n"/>
      <c r="E57" s="16" t="n"/>
      <c r="F57" s="16" t="n"/>
      <c r="G57" s="9">
        <f>IF(AND(E57="",F57=""),"",N(E57)+N(F57))</f>
        <v/>
      </c>
      <c r="H57" s="9">
        <f>IF(C57="","",C57-N(G57))</f>
        <v/>
      </c>
      <c r="I57" s="19" t="n"/>
      <c r="J57" s="19" t="n"/>
      <c r="K57" s="19" t="n"/>
      <c r="L57" s="20" t="n"/>
      <c r="M57" s="19" t="n"/>
    </row>
    <row r="58">
      <c r="A58" s="19" t="n"/>
      <c r="B58" s="19" t="n"/>
      <c r="C58" s="16" t="n"/>
      <c r="D58" s="19" t="n"/>
      <c r="E58" s="16" t="n"/>
      <c r="F58" s="16" t="n"/>
      <c r="G58" s="9">
        <f>IF(AND(E58="",F58=""),"",N(E58)+N(F58))</f>
        <v/>
      </c>
      <c r="H58" s="9">
        <f>IF(C58="","",C58-N(G58))</f>
        <v/>
      </c>
      <c r="I58" s="19" t="n"/>
      <c r="J58" s="19" t="n"/>
      <c r="K58" s="19" t="n"/>
      <c r="L58" s="20" t="n"/>
      <c r="M58" s="19" t="n"/>
    </row>
    <row r="59">
      <c r="A59" s="19" t="n"/>
      <c r="B59" s="19" t="n"/>
      <c r="C59" s="16" t="n"/>
      <c r="D59" s="19" t="n"/>
      <c r="E59" s="16" t="n"/>
      <c r="F59" s="16" t="n"/>
      <c r="G59" s="9">
        <f>IF(AND(E59="",F59=""),"",N(E59)+N(F59))</f>
        <v/>
      </c>
      <c r="H59" s="9">
        <f>IF(C59="","",C59-N(G59))</f>
        <v/>
      </c>
      <c r="I59" s="19" t="n"/>
      <c r="J59" s="19" t="n"/>
      <c r="K59" s="19" t="n"/>
      <c r="L59" s="20" t="n"/>
      <c r="M59" s="19" t="n"/>
    </row>
    <row r="60">
      <c r="A60" s="19" t="n"/>
      <c r="B60" s="19" t="n"/>
      <c r="C60" s="16" t="n"/>
      <c r="D60" s="19" t="n"/>
      <c r="E60" s="16" t="n"/>
      <c r="F60" s="16" t="n"/>
      <c r="G60" s="9">
        <f>IF(AND(E60="",F60=""),"",N(E60)+N(F60))</f>
        <v/>
      </c>
      <c r="H60" s="9">
        <f>IF(C60="","",C60-N(G60))</f>
        <v/>
      </c>
      <c r="I60" s="19" t="n"/>
      <c r="J60" s="19" t="n"/>
      <c r="K60" s="19" t="n"/>
      <c r="L60" s="20" t="n"/>
      <c r="M60" s="19" t="n"/>
    </row>
    <row r="61">
      <c r="A61" s="19" t="n"/>
      <c r="B61" s="19" t="n"/>
      <c r="C61" s="16" t="n"/>
      <c r="D61" s="19" t="n"/>
      <c r="E61" s="16" t="n"/>
      <c r="F61" s="16" t="n"/>
      <c r="G61" s="9">
        <f>IF(AND(E61="",F61=""),"",N(E61)+N(F61))</f>
        <v/>
      </c>
      <c r="H61" s="9">
        <f>IF(C61="","",C61-N(G61))</f>
        <v/>
      </c>
      <c r="I61" s="19" t="n"/>
      <c r="J61" s="19" t="n"/>
      <c r="K61" s="19" t="n"/>
      <c r="L61" s="20" t="n"/>
      <c r="M61" s="19" t="n"/>
    </row>
    <row r="62">
      <c r="A62" s="19" t="n"/>
      <c r="B62" s="19" t="n"/>
      <c r="C62" s="16" t="n"/>
      <c r="D62" s="19" t="n"/>
      <c r="E62" s="16" t="n"/>
      <c r="F62" s="16" t="n"/>
      <c r="G62" s="9">
        <f>IF(AND(E62="",F62=""),"",N(E62)+N(F62))</f>
        <v/>
      </c>
      <c r="H62" s="9">
        <f>IF(C62="","",C62-N(G62))</f>
        <v/>
      </c>
      <c r="I62" s="19" t="n"/>
      <c r="J62" s="19" t="n"/>
      <c r="K62" s="19" t="n"/>
      <c r="L62" s="20" t="n"/>
      <c r="M62" s="19" t="n"/>
    </row>
    <row r="63">
      <c r="A63" s="19" t="n"/>
      <c r="B63" s="19" t="n"/>
      <c r="C63" s="16" t="n"/>
      <c r="D63" s="19" t="n"/>
      <c r="E63" s="16" t="n"/>
      <c r="F63" s="16" t="n"/>
      <c r="G63" s="9">
        <f>IF(AND(E63="",F63=""),"",N(E63)+N(F63))</f>
        <v/>
      </c>
      <c r="H63" s="9">
        <f>IF(C63="","",C63-N(G63))</f>
        <v/>
      </c>
      <c r="I63" s="19" t="n"/>
      <c r="J63" s="19" t="n"/>
      <c r="K63" s="19" t="n"/>
      <c r="L63" s="20" t="n"/>
      <c r="M63" s="19" t="n"/>
    </row>
    <row r="64">
      <c r="A64" s="19" t="n"/>
      <c r="B64" s="19" t="n"/>
      <c r="C64" s="16" t="n"/>
      <c r="D64" s="19" t="n"/>
      <c r="E64" s="16" t="n"/>
      <c r="F64" s="16" t="n"/>
      <c r="G64" s="9">
        <f>IF(AND(E64="",F64=""),"",N(E64)+N(F64))</f>
        <v/>
      </c>
      <c r="H64" s="9">
        <f>IF(C64="","",C64-N(G64))</f>
        <v/>
      </c>
      <c r="I64" s="19" t="n"/>
      <c r="J64" s="19" t="n"/>
      <c r="K64" s="19" t="n"/>
      <c r="L64" s="20" t="n"/>
      <c r="M64" s="19" t="n"/>
    </row>
    <row r="65">
      <c r="A65" s="19" t="n"/>
      <c r="B65" s="19" t="n"/>
      <c r="C65" s="16" t="n"/>
      <c r="D65" s="19" t="n"/>
      <c r="E65" s="16" t="n"/>
      <c r="F65" s="16" t="n"/>
      <c r="G65" s="9">
        <f>IF(AND(E65="",F65=""),"",N(E65)+N(F65))</f>
        <v/>
      </c>
      <c r="H65" s="9">
        <f>IF(C65="","",C65-N(G65))</f>
        <v/>
      </c>
      <c r="I65" s="19" t="n"/>
      <c r="J65" s="19" t="n"/>
      <c r="K65" s="19" t="n"/>
      <c r="L65" s="20" t="n"/>
      <c r="M65" s="19" t="n"/>
    </row>
    <row r="66">
      <c r="A66" s="19" t="n"/>
      <c r="B66" s="19" t="n"/>
      <c r="C66" s="16" t="n"/>
      <c r="D66" s="19" t="n"/>
      <c r="E66" s="16" t="n"/>
      <c r="F66" s="16" t="n"/>
      <c r="G66" s="9">
        <f>IF(AND(E66="",F66=""),"",N(E66)+N(F66))</f>
        <v/>
      </c>
      <c r="H66" s="9">
        <f>IF(C66="","",C66-N(G66))</f>
        <v/>
      </c>
      <c r="I66" s="19" t="n"/>
      <c r="J66" s="19" t="n"/>
      <c r="K66" s="19" t="n"/>
      <c r="L66" s="20" t="n"/>
      <c r="M66" s="19" t="n"/>
    </row>
    <row r="67">
      <c r="A67" s="19" t="n"/>
      <c r="B67" s="19" t="n"/>
      <c r="C67" s="16" t="n"/>
      <c r="D67" s="19" t="n"/>
      <c r="E67" s="16" t="n"/>
      <c r="F67" s="16" t="n"/>
      <c r="G67" s="9">
        <f>IF(AND(E67="",F67=""),"",N(E67)+N(F67))</f>
        <v/>
      </c>
      <c r="H67" s="9">
        <f>IF(C67="","",C67-N(G67))</f>
        <v/>
      </c>
      <c r="I67" s="19" t="n"/>
      <c r="J67" s="19" t="n"/>
      <c r="K67" s="19" t="n"/>
      <c r="L67" s="20" t="n"/>
      <c r="M67" s="19" t="n"/>
    </row>
    <row r="68">
      <c r="A68" s="19" t="n"/>
      <c r="B68" s="19" t="n"/>
      <c r="C68" s="16" t="n"/>
      <c r="D68" s="19" t="n"/>
      <c r="E68" s="16" t="n"/>
      <c r="F68" s="16" t="n"/>
      <c r="G68" s="9">
        <f>IF(AND(E68="",F68=""),"",N(E68)+N(F68))</f>
        <v/>
      </c>
      <c r="H68" s="9">
        <f>IF(C68="","",C68-N(G68))</f>
        <v/>
      </c>
      <c r="I68" s="19" t="n"/>
      <c r="J68" s="19" t="n"/>
      <c r="K68" s="19" t="n"/>
      <c r="L68" s="20" t="n"/>
      <c r="M68" s="19" t="n"/>
    </row>
    <row r="69">
      <c r="A69" s="19" t="n"/>
      <c r="B69" s="19" t="n"/>
      <c r="C69" s="16" t="n"/>
      <c r="D69" s="19" t="n"/>
      <c r="E69" s="16" t="n"/>
      <c r="F69" s="16" t="n"/>
      <c r="G69" s="9">
        <f>IF(AND(E69="",F69=""),"",N(E69)+N(F69))</f>
        <v/>
      </c>
      <c r="H69" s="9">
        <f>IF(C69="","",C69-N(G69))</f>
        <v/>
      </c>
      <c r="I69" s="19" t="n"/>
      <c r="J69" s="19" t="n"/>
      <c r="K69" s="19" t="n"/>
      <c r="L69" s="20" t="n"/>
      <c r="M69" s="19" t="n"/>
    </row>
    <row r="70">
      <c r="A70" s="19" t="n"/>
      <c r="B70" s="19" t="n"/>
      <c r="C70" s="16" t="n"/>
      <c r="D70" s="19" t="n"/>
      <c r="E70" s="16" t="n"/>
      <c r="F70" s="16" t="n"/>
      <c r="G70" s="9">
        <f>IF(AND(E70="",F70=""),"",N(E70)+N(F70))</f>
        <v/>
      </c>
      <c r="H70" s="9">
        <f>IF(C70="","",C70-N(G70))</f>
        <v/>
      </c>
      <c r="I70" s="19" t="n"/>
      <c r="J70" s="19" t="n"/>
      <c r="K70" s="19" t="n"/>
      <c r="L70" s="20" t="n"/>
      <c r="M70" s="19" t="n"/>
    </row>
    <row r="71">
      <c r="A71" s="19" t="n"/>
      <c r="B71" s="19" t="n"/>
      <c r="C71" s="16" t="n"/>
      <c r="D71" s="19" t="n"/>
      <c r="E71" s="16" t="n"/>
      <c r="F71" s="16" t="n"/>
      <c r="G71" s="9">
        <f>IF(AND(E71="",F71=""),"",N(E71)+N(F71))</f>
        <v/>
      </c>
      <c r="H71" s="9">
        <f>IF(C71="","",C71-N(G71))</f>
        <v/>
      </c>
      <c r="I71" s="19" t="n"/>
      <c r="J71" s="19" t="n"/>
      <c r="K71" s="19" t="n"/>
      <c r="L71" s="20" t="n"/>
      <c r="M71" s="19" t="n"/>
    </row>
    <row r="72">
      <c r="A72" s="19" t="n"/>
      <c r="B72" s="19" t="n"/>
      <c r="C72" s="16" t="n"/>
      <c r="D72" s="19" t="n"/>
      <c r="E72" s="16" t="n"/>
      <c r="F72" s="16" t="n"/>
      <c r="G72" s="9">
        <f>IF(AND(E72="",F72=""),"",N(E72)+N(F72))</f>
        <v/>
      </c>
      <c r="H72" s="9">
        <f>IF(C72="","",C72-N(G72))</f>
        <v/>
      </c>
      <c r="I72" s="19" t="n"/>
      <c r="J72" s="19" t="n"/>
      <c r="K72" s="19" t="n"/>
      <c r="L72" s="20" t="n"/>
      <c r="M72" s="19" t="n"/>
    </row>
    <row r="73">
      <c r="A73" s="19" t="n"/>
      <c r="B73" s="19" t="n"/>
      <c r="C73" s="16" t="n"/>
      <c r="D73" s="19" t="n"/>
      <c r="E73" s="16" t="n"/>
      <c r="F73" s="16" t="n"/>
      <c r="G73" s="9">
        <f>IF(AND(E73="",F73=""),"",N(E73)+N(F73))</f>
        <v/>
      </c>
      <c r="H73" s="9">
        <f>IF(C73="","",C73-N(G73))</f>
        <v/>
      </c>
      <c r="I73" s="19" t="n"/>
      <c r="J73" s="19" t="n"/>
      <c r="K73" s="19" t="n"/>
      <c r="L73" s="20" t="n"/>
      <c r="M73" s="19" t="n"/>
    </row>
    <row r="74">
      <c r="A74" s="19" t="n"/>
      <c r="B74" s="19" t="n"/>
      <c r="C74" s="16" t="n"/>
      <c r="D74" s="19" t="n"/>
      <c r="E74" s="16" t="n"/>
      <c r="F74" s="16" t="n"/>
      <c r="G74" s="9">
        <f>IF(AND(E74="",F74=""),"",N(E74)+N(F74))</f>
        <v/>
      </c>
      <c r="H74" s="9">
        <f>IF(C74="","",C74-N(G74))</f>
        <v/>
      </c>
      <c r="I74" s="19" t="n"/>
      <c r="J74" s="19" t="n"/>
      <c r="K74" s="19" t="n"/>
      <c r="L74" s="20" t="n"/>
      <c r="M74" s="19" t="n"/>
    </row>
    <row r="75">
      <c r="A75" s="19" t="n"/>
      <c r="B75" s="19" t="n"/>
      <c r="C75" s="16" t="n"/>
      <c r="D75" s="19" t="n"/>
      <c r="E75" s="16" t="n"/>
      <c r="F75" s="16" t="n"/>
      <c r="G75" s="9">
        <f>IF(AND(E75="",F75=""),"",N(E75)+N(F75))</f>
        <v/>
      </c>
      <c r="H75" s="9">
        <f>IF(C75="","",C75-N(G75))</f>
        <v/>
      </c>
      <c r="I75" s="19" t="n"/>
      <c r="J75" s="19" t="n"/>
      <c r="K75" s="19" t="n"/>
      <c r="L75" s="20" t="n"/>
      <c r="M75" s="19" t="n"/>
    </row>
    <row r="76">
      <c r="A76" s="19" t="n"/>
      <c r="B76" s="19" t="n"/>
      <c r="C76" s="16" t="n"/>
      <c r="D76" s="19" t="n"/>
      <c r="E76" s="16" t="n"/>
      <c r="F76" s="16" t="n"/>
      <c r="G76" s="9">
        <f>IF(AND(E76="",F76=""),"",N(E76)+N(F76))</f>
        <v/>
      </c>
      <c r="H76" s="9">
        <f>IF(C76="","",C76-N(G76))</f>
        <v/>
      </c>
      <c r="I76" s="19" t="n"/>
      <c r="J76" s="19" t="n"/>
      <c r="K76" s="19" t="n"/>
      <c r="L76" s="20" t="n"/>
      <c r="M76" s="19" t="n"/>
    </row>
    <row r="77">
      <c r="A77" s="19" t="n"/>
      <c r="B77" s="19" t="n"/>
      <c r="C77" s="16" t="n"/>
      <c r="D77" s="19" t="n"/>
      <c r="E77" s="16" t="n"/>
      <c r="F77" s="16" t="n"/>
      <c r="G77" s="9">
        <f>IF(AND(E77="",F77=""),"",N(E77)+N(F77))</f>
        <v/>
      </c>
      <c r="H77" s="9">
        <f>IF(C77="","",C77-N(G77))</f>
        <v/>
      </c>
      <c r="I77" s="19" t="n"/>
      <c r="J77" s="19" t="n"/>
      <c r="K77" s="19" t="n"/>
      <c r="L77" s="20" t="n"/>
      <c r="M77" s="19" t="n"/>
    </row>
    <row r="78">
      <c r="A78" s="19" t="n"/>
      <c r="B78" s="19" t="n"/>
      <c r="C78" s="16" t="n"/>
      <c r="D78" s="19" t="n"/>
      <c r="E78" s="16" t="n"/>
      <c r="F78" s="16" t="n"/>
      <c r="G78" s="9">
        <f>IF(AND(E78="",F78=""),"",N(E78)+N(F78))</f>
        <v/>
      </c>
      <c r="H78" s="9">
        <f>IF(C78="","",C78-N(G78))</f>
        <v/>
      </c>
      <c r="I78" s="19" t="n"/>
      <c r="J78" s="19" t="n"/>
      <c r="K78" s="19" t="n"/>
      <c r="L78" s="20" t="n"/>
      <c r="M78" s="19" t="n"/>
    </row>
    <row r="79">
      <c r="A79" s="19" t="n"/>
      <c r="B79" s="19" t="n"/>
      <c r="C79" s="16" t="n"/>
      <c r="D79" s="19" t="n"/>
      <c r="E79" s="16" t="n"/>
      <c r="F79" s="16" t="n"/>
      <c r="G79" s="9">
        <f>IF(AND(E79="",F79=""),"",N(E79)+N(F79))</f>
        <v/>
      </c>
      <c r="H79" s="9">
        <f>IF(C79="","",C79-N(G79))</f>
        <v/>
      </c>
      <c r="I79" s="19" t="n"/>
      <c r="J79" s="19" t="n"/>
      <c r="K79" s="19" t="n"/>
      <c r="L79" s="20" t="n"/>
      <c r="M79" s="19" t="n"/>
    </row>
    <row r="80">
      <c r="A80" s="19" t="n"/>
      <c r="B80" s="19" t="n"/>
      <c r="C80" s="16" t="n"/>
      <c r="D80" s="19" t="n"/>
      <c r="E80" s="16" t="n"/>
      <c r="F80" s="16" t="n"/>
      <c r="G80" s="9">
        <f>IF(AND(E80="",F80=""),"",N(E80)+N(F80))</f>
        <v/>
      </c>
      <c r="H80" s="9">
        <f>IF(C80="","",C80-N(G80))</f>
        <v/>
      </c>
      <c r="I80" s="19" t="n"/>
      <c r="J80" s="19" t="n"/>
      <c r="K80" s="19" t="n"/>
      <c r="L80" s="20" t="n"/>
      <c r="M80" s="19" t="n"/>
    </row>
    <row r="81">
      <c r="A81" s="19" t="n"/>
      <c r="B81" s="19" t="n"/>
      <c r="C81" s="16" t="n"/>
      <c r="D81" s="19" t="n"/>
      <c r="E81" s="16" t="n"/>
      <c r="F81" s="16" t="n"/>
      <c r="G81" s="9">
        <f>IF(AND(E81="",F81=""),"",N(E81)+N(F81))</f>
        <v/>
      </c>
      <c r="H81" s="9">
        <f>IF(C81="","",C81-N(G81))</f>
        <v/>
      </c>
      <c r="I81" s="19" t="n"/>
      <c r="J81" s="19" t="n"/>
      <c r="K81" s="19" t="n"/>
      <c r="L81" s="20" t="n"/>
      <c r="M81" s="19" t="n"/>
    </row>
    <row r="82">
      <c r="A82" s="19" t="n"/>
      <c r="B82" s="19" t="n"/>
      <c r="C82" s="16" t="n"/>
      <c r="D82" s="19" t="n"/>
      <c r="E82" s="16" t="n"/>
      <c r="F82" s="16" t="n"/>
      <c r="G82" s="9">
        <f>IF(AND(E82="",F82=""),"",N(E82)+N(F82))</f>
        <v/>
      </c>
      <c r="H82" s="9">
        <f>IF(C82="","",C82-N(G82))</f>
        <v/>
      </c>
      <c r="I82" s="19" t="n"/>
      <c r="J82" s="19" t="n"/>
      <c r="K82" s="19" t="n"/>
      <c r="L82" s="20" t="n"/>
      <c r="M82" s="19" t="n"/>
    </row>
    <row r="83">
      <c r="A83" s="19" t="n"/>
      <c r="B83" s="19" t="n"/>
      <c r="C83" s="16" t="n"/>
      <c r="D83" s="19" t="n"/>
      <c r="E83" s="16" t="n"/>
      <c r="F83" s="16" t="n"/>
      <c r="G83" s="9">
        <f>IF(AND(E83="",F83=""),"",N(E83)+N(F83))</f>
        <v/>
      </c>
      <c r="H83" s="9">
        <f>IF(C83="","",C83-N(G83))</f>
        <v/>
      </c>
      <c r="I83" s="19" t="n"/>
      <c r="J83" s="19" t="n"/>
      <c r="K83" s="19" t="n"/>
      <c r="L83" s="20" t="n"/>
      <c r="M83" s="19" t="n"/>
    </row>
    <row r="84">
      <c r="A84" s="19" t="n"/>
      <c r="B84" s="19" t="n"/>
      <c r="C84" s="16" t="n"/>
      <c r="D84" s="19" t="n"/>
      <c r="E84" s="16" t="n"/>
      <c r="F84" s="16" t="n"/>
      <c r="G84" s="9">
        <f>IF(AND(E84="",F84=""),"",N(E84)+N(F84))</f>
        <v/>
      </c>
      <c r="H84" s="9">
        <f>IF(C84="","",C84-N(G84))</f>
        <v/>
      </c>
      <c r="I84" s="19" t="n"/>
      <c r="J84" s="19" t="n"/>
      <c r="K84" s="19" t="n"/>
      <c r="L84" s="20" t="n"/>
      <c r="M84" s="19" t="n"/>
    </row>
    <row r="85">
      <c r="A85" s="19" t="n"/>
      <c r="B85" s="19" t="n"/>
      <c r="C85" s="16" t="n"/>
      <c r="D85" s="19" t="n"/>
      <c r="E85" s="16" t="n"/>
      <c r="F85" s="16" t="n"/>
      <c r="G85" s="9">
        <f>IF(AND(E85="",F85=""),"",N(E85)+N(F85))</f>
        <v/>
      </c>
      <c r="H85" s="9">
        <f>IF(C85="","",C85-N(G85))</f>
        <v/>
      </c>
      <c r="I85" s="19" t="n"/>
      <c r="J85" s="19" t="n"/>
      <c r="K85" s="19" t="n"/>
      <c r="L85" s="20" t="n"/>
      <c r="M85" s="19" t="n"/>
    </row>
    <row r="86">
      <c r="A86" s="19" t="n"/>
      <c r="B86" s="19" t="n"/>
      <c r="C86" s="16" t="n"/>
      <c r="D86" s="19" t="n"/>
      <c r="E86" s="16" t="n"/>
      <c r="F86" s="16" t="n"/>
      <c r="G86" s="9">
        <f>IF(AND(E86="",F86=""),"",N(E86)+N(F86))</f>
        <v/>
      </c>
      <c r="H86" s="9">
        <f>IF(C86="","",C86-N(G86))</f>
        <v/>
      </c>
      <c r="I86" s="19" t="n"/>
      <c r="J86" s="19" t="n"/>
      <c r="K86" s="19" t="n"/>
      <c r="L86" s="20" t="n"/>
      <c r="M86" s="19" t="n"/>
    </row>
    <row r="87">
      <c r="A87" s="19" t="n"/>
      <c r="B87" s="19" t="n"/>
      <c r="C87" s="16" t="n"/>
      <c r="D87" s="19" t="n"/>
      <c r="E87" s="16" t="n"/>
      <c r="F87" s="16" t="n"/>
      <c r="G87" s="9">
        <f>IF(AND(E87="",F87=""),"",N(E87)+N(F87))</f>
        <v/>
      </c>
      <c r="H87" s="9">
        <f>IF(C87="","",C87-N(G87))</f>
        <v/>
      </c>
      <c r="I87" s="19" t="n"/>
      <c r="J87" s="19" t="n"/>
      <c r="K87" s="19" t="n"/>
      <c r="L87" s="20" t="n"/>
      <c r="M87" s="19" t="n"/>
    </row>
    <row r="88">
      <c r="A88" s="19" t="n"/>
      <c r="B88" s="19" t="n"/>
      <c r="C88" s="16" t="n"/>
      <c r="D88" s="19" t="n"/>
      <c r="E88" s="16" t="n"/>
      <c r="F88" s="16" t="n"/>
      <c r="G88" s="9">
        <f>IF(AND(E88="",F88=""),"",N(E88)+N(F88))</f>
        <v/>
      </c>
      <c r="H88" s="9">
        <f>IF(C88="","",C88-N(G88))</f>
        <v/>
      </c>
      <c r="I88" s="19" t="n"/>
      <c r="J88" s="19" t="n"/>
      <c r="K88" s="19" t="n"/>
      <c r="L88" s="20" t="n"/>
      <c r="M88" s="19" t="n"/>
    </row>
    <row r="89">
      <c r="A89" s="19" t="n"/>
      <c r="B89" s="19" t="n"/>
      <c r="C89" s="16" t="n"/>
      <c r="D89" s="19" t="n"/>
      <c r="E89" s="16" t="n"/>
      <c r="F89" s="16" t="n"/>
      <c r="G89" s="9">
        <f>IF(AND(E89="",F89=""),"",N(E89)+N(F89))</f>
        <v/>
      </c>
      <c r="H89" s="9">
        <f>IF(C89="","",C89-N(G89))</f>
        <v/>
      </c>
      <c r="I89" s="19" t="n"/>
      <c r="J89" s="19" t="n"/>
      <c r="K89" s="19" t="n"/>
      <c r="L89" s="20" t="n"/>
      <c r="M89" s="19" t="n"/>
    </row>
    <row r="90">
      <c r="A90" s="19" t="n"/>
      <c r="B90" s="19" t="n"/>
      <c r="C90" s="16" t="n"/>
      <c r="D90" s="19" t="n"/>
      <c r="E90" s="16" t="n"/>
      <c r="F90" s="16" t="n"/>
      <c r="G90" s="9">
        <f>IF(AND(E90="",F90=""),"",N(E90)+N(F90))</f>
        <v/>
      </c>
      <c r="H90" s="9">
        <f>IF(C90="","",C90-N(G90))</f>
        <v/>
      </c>
      <c r="I90" s="19" t="n"/>
      <c r="J90" s="19" t="n"/>
      <c r="K90" s="19" t="n"/>
      <c r="L90" s="20" t="n"/>
      <c r="M90" s="19" t="n"/>
    </row>
    <row r="91">
      <c r="A91" s="19" t="n"/>
      <c r="B91" s="19" t="n"/>
      <c r="C91" s="16" t="n"/>
      <c r="D91" s="19" t="n"/>
      <c r="E91" s="16" t="n"/>
      <c r="F91" s="16" t="n"/>
      <c r="G91" s="9">
        <f>IF(AND(E91="",F91=""),"",N(E91)+N(F91))</f>
        <v/>
      </c>
      <c r="H91" s="9">
        <f>IF(C91="","",C91-N(G91))</f>
        <v/>
      </c>
      <c r="I91" s="19" t="n"/>
      <c r="J91" s="19" t="n"/>
      <c r="K91" s="19" t="n"/>
      <c r="L91" s="20" t="n"/>
      <c r="M91" s="19" t="n"/>
    </row>
    <row r="92">
      <c r="A92" s="19" t="n"/>
      <c r="B92" s="19" t="n"/>
      <c r="C92" s="16" t="n"/>
      <c r="D92" s="19" t="n"/>
      <c r="E92" s="16" t="n"/>
      <c r="F92" s="16" t="n"/>
      <c r="G92" s="9">
        <f>IF(AND(E92="",F92=""),"",N(E92)+N(F92))</f>
        <v/>
      </c>
      <c r="H92" s="9">
        <f>IF(C92="","",C92-N(G92))</f>
        <v/>
      </c>
      <c r="I92" s="19" t="n"/>
      <c r="J92" s="19" t="n"/>
      <c r="K92" s="19" t="n"/>
      <c r="L92" s="20" t="n"/>
      <c r="M92" s="19" t="n"/>
    </row>
    <row r="93">
      <c r="A93" s="19" t="n"/>
      <c r="B93" s="19" t="n"/>
      <c r="C93" s="16" t="n"/>
      <c r="D93" s="19" t="n"/>
      <c r="E93" s="16" t="n"/>
      <c r="F93" s="16" t="n"/>
      <c r="G93" s="9">
        <f>IF(AND(E93="",F93=""),"",N(E93)+N(F93))</f>
        <v/>
      </c>
      <c r="H93" s="9">
        <f>IF(C93="","",C93-N(G93))</f>
        <v/>
      </c>
      <c r="I93" s="19" t="n"/>
      <c r="J93" s="19" t="n"/>
      <c r="K93" s="19" t="n"/>
      <c r="L93" s="20" t="n"/>
      <c r="M93" s="19" t="n"/>
    </row>
    <row r="94">
      <c r="A94" s="19" t="n"/>
      <c r="B94" s="19" t="n"/>
      <c r="C94" s="16" t="n"/>
      <c r="D94" s="19" t="n"/>
      <c r="E94" s="16" t="n"/>
      <c r="F94" s="16" t="n"/>
      <c r="G94" s="9">
        <f>IF(AND(E94="",F94=""),"",N(E94)+N(F94))</f>
        <v/>
      </c>
      <c r="H94" s="9">
        <f>IF(C94="","",C94-N(G94))</f>
        <v/>
      </c>
      <c r="I94" s="19" t="n"/>
      <c r="J94" s="19" t="n"/>
      <c r="K94" s="19" t="n"/>
      <c r="L94" s="20" t="n"/>
      <c r="M94" s="19" t="n"/>
    </row>
    <row r="95">
      <c r="A95" s="19" t="n"/>
      <c r="B95" s="19" t="n"/>
      <c r="C95" s="16" t="n"/>
      <c r="D95" s="19" t="n"/>
      <c r="E95" s="16" t="n"/>
      <c r="F95" s="16" t="n"/>
      <c r="G95" s="9">
        <f>IF(AND(E95="",F95=""),"",N(E95)+N(F95))</f>
        <v/>
      </c>
      <c r="H95" s="9">
        <f>IF(C95="","",C95-N(G95))</f>
        <v/>
      </c>
      <c r="I95" s="19" t="n"/>
      <c r="J95" s="19" t="n"/>
      <c r="K95" s="19" t="n"/>
      <c r="L95" s="20" t="n"/>
      <c r="M95" s="19" t="n"/>
    </row>
    <row r="96">
      <c r="A96" s="19" t="n"/>
      <c r="B96" s="19" t="n"/>
      <c r="C96" s="16" t="n"/>
      <c r="D96" s="19" t="n"/>
      <c r="E96" s="16" t="n"/>
      <c r="F96" s="16" t="n"/>
      <c r="G96" s="9">
        <f>IF(AND(E96="",F96=""),"",N(E96)+N(F96))</f>
        <v/>
      </c>
      <c r="H96" s="9">
        <f>IF(C96="","",C96-N(G96))</f>
        <v/>
      </c>
      <c r="I96" s="19" t="n"/>
      <c r="J96" s="19" t="n"/>
      <c r="K96" s="19" t="n"/>
      <c r="L96" s="20" t="n"/>
      <c r="M96" s="19" t="n"/>
    </row>
    <row r="97">
      <c r="A97" s="19" t="n"/>
      <c r="B97" s="19" t="n"/>
      <c r="C97" s="16" t="n"/>
      <c r="D97" s="19" t="n"/>
      <c r="E97" s="16" t="n"/>
      <c r="F97" s="16" t="n"/>
      <c r="G97" s="9">
        <f>IF(AND(E97="",F97=""),"",N(E97)+N(F97))</f>
        <v/>
      </c>
      <c r="H97" s="9">
        <f>IF(C97="","",C97-N(G97))</f>
        <v/>
      </c>
      <c r="I97" s="19" t="n"/>
      <c r="J97" s="19" t="n"/>
      <c r="K97" s="19" t="n"/>
      <c r="L97" s="20" t="n"/>
      <c r="M97" s="19" t="n"/>
    </row>
    <row r="98">
      <c r="A98" s="19" t="n"/>
      <c r="B98" s="19" t="n"/>
      <c r="C98" s="16" t="n"/>
      <c r="D98" s="19" t="n"/>
      <c r="E98" s="16" t="n"/>
      <c r="F98" s="16" t="n"/>
      <c r="G98" s="9">
        <f>IF(AND(E98="",F98=""),"",N(E98)+N(F98))</f>
        <v/>
      </c>
      <c r="H98" s="9">
        <f>IF(C98="","",C98-N(G98))</f>
        <v/>
      </c>
      <c r="I98" s="19" t="n"/>
      <c r="J98" s="19" t="n"/>
      <c r="K98" s="19" t="n"/>
      <c r="L98" s="20" t="n"/>
      <c r="M98" s="19" t="n"/>
    </row>
    <row r="99">
      <c r="A99" s="19" t="n"/>
      <c r="B99" s="19" t="n"/>
      <c r="C99" s="16" t="n"/>
      <c r="D99" s="19" t="n"/>
      <c r="E99" s="16" t="n"/>
      <c r="F99" s="16" t="n"/>
      <c r="G99" s="9">
        <f>IF(AND(E99="",F99=""),"",N(E99)+N(F99))</f>
        <v/>
      </c>
      <c r="H99" s="9">
        <f>IF(C99="","",C99-N(G99))</f>
        <v/>
      </c>
      <c r="I99" s="19" t="n"/>
      <c r="J99" s="19" t="n"/>
      <c r="K99" s="19" t="n"/>
      <c r="L99" s="20" t="n"/>
      <c r="M99" s="19" t="n"/>
    </row>
    <row r="100">
      <c r="A100" s="19" t="n"/>
      <c r="B100" s="19" t="n"/>
      <c r="C100" s="16" t="n"/>
      <c r="D100" s="19" t="n"/>
      <c r="E100" s="16" t="n"/>
      <c r="F100" s="16" t="n"/>
      <c r="G100" s="9">
        <f>IF(AND(E100="",F100=""),"",N(E100)+N(F100))</f>
        <v/>
      </c>
      <c r="H100" s="9">
        <f>IF(C100="","",C100-N(G100))</f>
        <v/>
      </c>
      <c r="I100" s="19" t="n"/>
      <c r="J100" s="19" t="n"/>
      <c r="K100" s="19" t="n"/>
      <c r="L100" s="20" t="n"/>
      <c r="M100" s="19" t="n"/>
    </row>
    <row r="101">
      <c r="A101" s="19" t="n"/>
      <c r="B101" s="19" t="n"/>
      <c r="C101" s="16" t="n"/>
      <c r="D101" s="19" t="n"/>
      <c r="E101" s="16" t="n"/>
      <c r="F101" s="16" t="n"/>
      <c r="G101" s="9">
        <f>IF(AND(E101="",F101=""),"",N(E101)+N(F101))</f>
        <v/>
      </c>
      <c r="H101" s="9">
        <f>IF(C101="","",C101-N(G101))</f>
        <v/>
      </c>
      <c r="I101" s="19" t="n"/>
      <c r="J101" s="19" t="n"/>
      <c r="K101" s="19" t="n"/>
      <c r="L101" s="20" t="n"/>
      <c r="M101" s="19" t="n"/>
    </row>
    <row r="102">
      <c r="A102" s="19" t="n"/>
      <c r="B102" s="19" t="n"/>
      <c r="C102" s="16" t="n"/>
      <c r="D102" s="19" t="n"/>
      <c r="E102" s="16" t="n"/>
      <c r="F102" s="16" t="n"/>
      <c r="G102" s="9">
        <f>IF(AND(E102="",F102=""),"",N(E102)+N(F102))</f>
        <v/>
      </c>
      <c r="H102" s="9">
        <f>IF(C102="","",C102-N(G102))</f>
        <v/>
      </c>
      <c r="I102" s="19" t="n"/>
      <c r="J102" s="19" t="n"/>
      <c r="K102" s="19" t="n"/>
      <c r="L102" s="20" t="n"/>
      <c r="M102" s="19" t="n"/>
    </row>
    <row r="103">
      <c r="A103" s="19" t="n"/>
      <c r="B103" s="19" t="n"/>
      <c r="C103" s="16" t="n"/>
      <c r="D103" s="19" t="n"/>
      <c r="E103" s="16" t="n"/>
      <c r="F103" s="16" t="n"/>
      <c r="G103" s="9">
        <f>IF(AND(E103="",F103=""),"",N(E103)+N(F103))</f>
        <v/>
      </c>
      <c r="H103" s="9">
        <f>IF(C103="","",C103-N(G103))</f>
        <v/>
      </c>
      <c r="I103" s="19" t="n"/>
      <c r="J103" s="19" t="n"/>
      <c r="K103" s="19" t="n"/>
      <c r="L103" s="20" t="n"/>
      <c r="M103" s="19" t="n"/>
    </row>
    <row r="104">
      <c r="A104" s="19" t="n"/>
      <c r="B104" s="19" t="n"/>
      <c r="C104" s="16" t="n"/>
      <c r="D104" s="19" t="n"/>
      <c r="E104" s="16" t="n"/>
      <c r="F104" s="16" t="n"/>
      <c r="G104" s="9">
        <f>IF(AND(E104="",F104=""),"",N(E104)+N(F104))</f>
        <v/>
      </c>
      <c r="H104" s="9">
        <f>IF(C104="","",C104-N(G104))</f>
        <v/>
      </c>
      <c r="I104" s="19" t="n"/>
      <c r="J104" s="19" t="n"/>
      <c r="K104" s="19" t="n"/>
      <c r="L104" s="20" t="n"/>
      <c r="M104" s="19" t="n"/>
    </row>
    <row r="105">
      <c r="A105" s="19" t="n"/>
      <c r="B105" s="19" t="n"/>
      <c r="C105" s="16" t="n"/>
      <c r="D105" s="19" t="n"/>
      <c r="E105" s="16" t="n"/>
      <c r="F105" s="16" t="n"/>
      <c r="G105" s="9">
        <f>IF(AND(E105="",F105=""),"",N(E105)+N(F105))</f>
        <v/>
      </c>
      <c r="H105" s="9">
        <f>IF(C105="","",C105-N(G105))</f>
        <v/>
      </c>
      <c r="I105" s="19" t="n"/>
      <c r="J105" s="19" t="n"/>
      <c r="K105" s="19" t="n"/>
      <c r="L105" s="20" t="n"/>
      <c r="M105" s="19" t="n"/>
    </row>
    <row r="106">
      <c r="A106" s="19" t="n"/>
      <c r="B106" s="19" t="n"/>
      <c r="C106" s="16" t="n"/>
      <c r="D106" s="19" t="n"/>
      <c r="E106" s="16" t="n"/>
      <c r="F106" s="16" t="n"/>
      <c r="G106" s="9">
        <f>IF(AND(E106="",F106=""),"",N(E106)+N(F106))</f>
        <v/>
      </c>
      <c r="H106" s="9">
        <f>IF(C106="","",C106-N(G106))</f>
        <v/>
      </c>
      <c r="I106" s="19" t="n"/>
      <c r="J106" s="19" t="n"/>
      <c r="K106" s="19" t="n"/>
      <c r="L106" s="20" t="n"/>
      <c r="M106" s="19" t="n"/>
    </row>
    <row r="107">
      <c r="A107" s="19" t="n"/>
      <c r="B107" s="19" t="n"/>
      <c r="C107" s="16" t="n"/>
      <c r="D107" s="19" t="n"/>
      <c r="E107" s="16" t="n"/>
      <c r="F107" s="16" t="n"/>
      <c r="G107" s="9">
        <f>IF(AND(E107="",F107=""),"",N(E107)+N(F107))</f>
        <v/>
      </c>
      <c r="H107" s="9">
        <f>IF(C107="","",C107-N(G107))</f>
        <v/>
      </c>
      <c r="I107" s="19" t="n"/>
      <c r="J107" s="19" t="n"/>
      <c r="K107" s="19" t="n"/>
      <c r="L107" s="20" t="n"/>
      <c r="M107" s="19" t="n"/>
    </row>
    <row r="108">
      <c r="A108" s="19" t="n"/>
      <c r="B108" s="19" t="n"/>
      <c r="C108" s="16" t="n"/>
      <c r="D108" s="19" t="n"/>
      <c r="E108" s="16" t="n"/>
      <c r="F108" s="16" t="n"/>
      <c r="G108" s="9">
        <f>IF(AND(E108="",F108=""),"",N(E108)+N(F108))</f>
        <v/>
      </c>
      <c r="H108" s="9">
        <f>IF(C108="","",C108-N(G108))</f>
        <v/>
      </c>
      <c r="I108" s="19" t="n"/>
      <c r="J108" s="19" t="n"/>
      <c r="K108" s="19" t="n"/>
      <c r="L108" s="20" t="n"/>
      <c r="M108" s="19" t="n"/>
    </row>
    <row r="109">
      <c r="A109" s="19" t="n"/>
      <c r="B109" s="19" t="n"/>
      <c r="C109" s="16" t="n"/>
      <c r="D109" s="19" t="n"/>
      <c r="E109" s="16" t="n"/>
      <c r="F109" s="16" t="n"/>
      <c r="G109" s="9">
        <f>IF(AND(E109="",F109=""),"",N(E109)+N(F109))</f>
        <v/>
      </c>
      <c r="H109" s="9">
        <f>IF(C109="","",C109-N(G109))</f>
        <v/>
      </c>
      <c r="I109" s="19" t="n"/>
      <c r="J109" s="19" t="n"/>
      <c r="K109" s="19" t="n"/>
      <c r="L109" s="20" t="n"/>
      <c r="M109" s="19" t="n"/>
    </row>
    <row r="110">
      <c r="A110" s="19" t="n"/>
      <c r="B110" s="19" t="n"/>
      <c r="C110" s="16" t="n"/>
      <c r="D110" s="19" t="n"/>
      <c r="E110" s="16" t="n"/>
      <c r="F110" s="16" t="n"/>
      <c r="G110" s="9">
        <f>IF(AND(E110="",F110=""),"",N(E110)+N(F110))</f>
        <v/>
      </c>
      <c r="H110" s="9">
        <f>IF(C110="","",C110-N(G110))</f>
        <v/>
      </c>
      <c r="I110" s="19" t="n"/>
      <c r="J110" s="19" t="n"/>
      <c r="K110" s="19" t="n"/>
      <c r="L110" s="20" t="n"/>
      <c r="M110" s="19" t="n"/>
    </row>
    <row r="111">
      <c r="A111" s="19" t="n"/>
      <c r="B111" s="19" t="n"/>
      <c r="C111" s="16" t="n"/>
      <c r="D111" s="19" t="n"/>
      <c r="E111" s="16" t="n"/>
      <c r="F111" s="16" t="n"/>
      <c r="G111" s="9">
        <f>IF(AND(E111="",F111=""),"",N(E111)+N(F111))</f>
        <v/>
      </c>
      <c r="H111" s="9">
        <f>IF(C111="","",C111-N(G111))</f>
        <v/>
      </c>
      <c r="I111" s="19" t="n"/>
      <c r="J111" s="19" t="n"/>
      <c r="K111" s="19" t="n"/>
      <c r="L111" s="20" t="n"/>
      <c r="M111" s="19" t="n"/>
    </row>
    <row r="112">
      <c r="A112" s="19" t="n"/>
      <c r="B112" s="19" t="n"/>
      <c r="C112" s="16" t="n"/>
      <c r="D112" s="19" t="n"/>
      <c r="E112" s="16" t="n"/>
      <c r="F112" s="16" t="n"/>
      <c r="G112" s="9">
        <f>IF(AND(E112="",F112=""),"",N(E112)+N(F112))</f>
        <v/>
      </c>
      <c r="H112" s="9">
        <f>IF(C112="","",C112-N(G112))</f>
        <v/>
      </c>
      <c r="I112" s="19" t="n"/>
      <c r="J112" s="19" t="n"/>
      <c r="K112" s="19" t="n"/>
      <c r="L112" s="20" t="n"/>
      <c r="M112" s="19" t="n"/>
    </row>
    <row r="113">
      <c r="A113" s="19" t="n"/>
      <c r="B113" s="19" t="n"/>
      <c r="C113" s="16" t="n"/>
      <c r="D113" s="19" t="n"/>
      <c r="E113" s="16" t="n"/>
      <c r="F113" s="16" t="n"/>
      <c r="G113" s="9">
        <f>IF(AND(E113="",F113=""),"",N(E113)+N(F113))</f>
        <v/>
      </c>
      <c r="H113" s="9">
        <f>IF(C113="","",C113-N(G113))</f>
        <v/>
      </c>
      <c r="I113" s="19" t="n"/>
      <c r="J113" s="19" t="n"/>
      <c r="K113" s="19" t="n"/>
      <c r="L113" s="20" t="n"/>
      <c r="M113" s="19" t="n"/>
    </row>
    <row r="114">
      <c r="A114" s="19" t="n"/>
      <c r="B114" s="19" t="n"/>
      <c r="C114" s="16" t="n"/>
      <c r="D114" s="19" t="n"/>
      <c r="E114" s="16" t="n"/>
      <c r="F114" s="16" t="n"/>
      <c r="G114" s="9">
        <f>IF(AND(E114="",F114=""),"",N(E114)+N(F114))</f>
        <v/>
      </c>
      <c r="H114" s="9">
        <f>IF(C114="","",C114-N(G114))</f>
        <v/>
      </c>
      <c r="I114" s="19" t="n"/>
      <c r="J114" s="19" t="n"/>
      <c r="K114" s="19" t="n"/>
      <c r="L114" s="20" t="n"/>
      <c r="M114" s="19" t="n"/>
    </row>
    <row r="115">
      <c r="A115" s="19" t="n"/>
      <c r="B115" s="19" t="n"/>
      <c r="C115" s="16" t="n"/>
      <c r="D115" s="19" t="n"/>
      <c r="E115" s="16" t="n"/>
      <c r="F115" s="16" t="n"/>
      <c r="G115" s="9">
        <f>IF(AND(E115="",F115=""),"",N(E115)+N(F115))</f>
        <v/>
      </c>
      <c r="H115" s="9">
        <f>IF(C115="","",C115-N(G115))</f>
        <v/>
      </c>
      <c r="I115" s="19" t="n"/>
      <c r="J115" s="19" t="n"/>
      <c r="K115" s="19" t="n"/>
      <c r="L115" s="20" t="n"/>
      <c r="M115" s="19" t="n"/>
    </row>
    <row r="116">
      <c r="A116" s="19" t="n"/>
      <c r="B116" s="19" t="n"/>
      <c r="C116" s="16" t="n"/>
      <c r="D116" s="19" t="n"/>
      <c r="E116" s="16" t="n"/>
      <c r="F116" s="16" t="n"/>
      <c r="G116" s="9">
        <f>IF(AND(E116="",F116=""),"",N(E116)+N(F116))</f>
        <v/>
      </c>
      <c r="H116" s="9">
        <f>IF(C116="","",C116-N(G116))</f>
        <v/>
      </c>
      <c r="I116" s="19" t="n"/>
      <c r="J116" s="19" t="n"/>
      <c r="K116" s="19" t="n"/>
      <c r="L116" s="20" t="n"/>
      <c r="M116" s="19" t="n"/>
    </row>
    <row r="117">
      <c r="A117" s="19" t="n"/>
      <c r="B117" s="19" t="n"/>
      <c r="C117" s="16" t="n"/>
      <c r="D117" s="19" t="n"/>
      <c r="E117" s="16" t="n"/>
      <c r="F117" s="16" t="n"/>
      <c r="G117" s="9">
        <f>IF(AND(E117="",F117=""),"",N(E117)+N(F117))</f>
        <v/>
      </c>
      <c r="H117" s="9">
        <f>IF(C117="","",C117-N(G117))</f>
        <v/>
      </c>
      <c r="I117" s="19" t="n"/>
      <c r="J117" s="19" t="n"/>
      <c r="K117" s="19" t="n"/>
      <c r="L117" s="20" t="n"/>
      <c r="M117" s="19" t="n"/>
    </row>
    <row r="118">
      <c r="A118" s="19" t="n"/>
      <c r="B118" s="19" t="n"/>
      <c r="C118" s="16" t="n"/>
      <c r="D118" s="19" t="n"/>
      <c r="E118" s="16" t="n"/>
      <c r="F118" s="16" t="n"/>
      <c r="G118" s="9">
        <f>IF(AND(E118="",F118=""),"",N(E118)+N(F118))</f>
        <v/>
      </c>
      <c r="H118" s="9">
        <f>IF(C118="","",C118-N(G118))</f>
        <v/>
      </c>
      <c r="I118" s="19" t="n"/>
      <c r="J118" s="19" t="n"/>
      <c r="K118" s="19" t="n"/>
      <c r="L118" s="20" t="n"/>
      <c r="M118" s="19" t="n"/>
    </row>
    <row r="119">
      <c r="A119" s="19" t="n"/>
      <c r="B119" s="19" t="n"/>
      <c r="C119" s="16" t="n"/>
      <c r="D119" s="19" t="n"/>
      <c r="E119" s="16" t="n"/>
      <c r="F119" s="16" t="n"/>
      <c r="G119" s="9">
        <f>IF(AND(E119="",F119=""),"",N(E119)+N(F119))</f>
        <v/>
      </c>
      <c r="H119" s="9">
        <f>IF(C119="","",C119-N(G119))</f>
        <v/>
      </c>
      <c r="I119" s="19" t="n"/>
      <c r="J119" s="19" t="n"/>
      <c r="K119" s="19" t="n"/>
      <c r="L119" s="20" t="n"/>
      <c r="M119" s="19" t="n"/>
    </row>
    <row r="120">
      <c r="A120" s="19" t="n"/>
      <c r="B120" s="19" t="n"/>
      <c r="C120" s="16" t="n"/>
      <c r="D120" s="19" t="n"/>
      <c r="E120" s="16" t="n"/>
      <c r="F120" s="16" t="n"/>
      <c r="G120" s="9">
        <f>IF(AND(E120="",F120=""),"",N(E120)+N(F120))</f>
        <v/>
      </c>
      <c r="H120" s="9">
        <f>IF(C120="","",C120-N(G120))</f>
        <v/>
      </c>
      <c r="I120" s="19" t="n"/>
      <c r="J120" s="19" t="n"/>
      <c r="K120" s="19" t="n"/>
      <c r="L120" s="20" t="n"/>
      <c r="M120" s="19" t="n"/>
    </row>
    <row r="121">
      <c r="A121" s="19" t="n"/>
      <c r="B121" s="19" t="n"/>
      <c r="C121" s="16" t="n"/>
      <c r="D121" s="19" t="n"/>
      <c r="E121" s="16" t="n"/>
      <c r="F121" s="16" t="n"/>
      <c r="G121" s="9">
        <f>IF(AND(E121="",F121=""),"",N(E121)+N(F121))</f>
        <v/>
      </c>
      <c r="H121" s="9">
        <f>IF(C121="","",C121-N(G121))</f>
        <v/>
      </c>
      <c r="I121" s="19" t="n"/>
      <c r="J121" s="19" t="n"/>
      <c r="K121" s="19" t="n"/>
      <c r="L121" s="20" t="n"/>
      <c r="M121" s="19" t="n"/>
    </row>
    <row r="122">
      <c r="A122" s="19" t="n"/>
      <c r="B122" s="19" t="n"/>
      <c r="C122" s="16" t="n"/>
      <c r="D122" s="19" t="n"/>
      <c r="E122" s="16" t="n"/>
      <c r="F122" s="16" t="n"/>
      <c r="G122" s="9">
        <f>IF(AND(E122="",F122=""),"",N(E122)+N(F122))</f>
        <v/>
      </c>
      <c r="H122" s="9">
        <f>IF(C122="","",C122-N(G122))</f>
        <v/>
      </c>
      <c r="I122" s="19" t="n"/>
      <c r="J122" s="19" t="n"/>
      <c r="K122" s="19" t="n"/>
      <c r="L122" s="20" t="n"/>
      <c r="M122" s="19" t="n"/>
    </row>
    <row r="123">
      <c r="A123" s="19" t="n"/>
      <c r="B123" s="19" t="n"/>
      <c r="C123" s="16" t="n"/>
      <c r="D123" s="19" t="n"/>
      <c r="E123" s="16" t="n"/>
      <c r="F123" s="16" t="n"/>
      <c r="G123" s="9">
        <f>IF(AND(E123="",F123=""),"",N(E123)+N(F123))</f>
        <v/>
      </c>
      <c r="H123" s="9">
        <f>IF(C123="","",C123-N(G123))</f>
        <v/>
      </c>
      <c r="I123" s="19" t="n"/>
      <c r="J123" s="19" t="n"/>
      <c r="K123" s="19" t="n"/>
      <c r="L123" s="20" t="n"/>
      <c r="M123" s="19" t="n"/>
    </row>
    <row r="124">
      <c r="A124" s="19" t="n"/>
      <c r="B124" s="19" t="n"/>
      <c r="C124" s="16" t="n"/>
      <c r="D124" s="19" t="n"/>
      <c r="E124" s="16" t="n"/>
      <c r="F124" s="16" t="n"/>
      <c r="G124" s="9">
        <f>IF(AND(E124="",F124=""),"",N(E124)+N(F124))</f>
        <v/>
      </c>
      <c r="H124" s="9">
        <f>IF(C124="","",C124-N(G124))</f>
        <v/>
      </c>
      <c r="I124" s="19" t="n"/>
      <c r="J124" s="19" t="n"/>
      <c r="K124" s="19" t="n"/>
      <c r="L124" s="20" t="n"/>
      <c r="M124" s="19" t="n"/>
    </row>
    <row r="125">
      <c r="A125" s="19" t="n"/>
      <c r="B125" s="19" t="n"/>
      <c r="C125" s="16" t="n"/>
      <c r="D125" s="19" t="n"/>
      <c r="E125" s="16" t="n"/>
      <c r="F125" s="16" t="n"/>
      <c r="G125" s="9">
        <f>IF(AND(E125="",F125=""),"",N(E125)+N(F125))</f>
        <v/>
      </c>
      <c r="H125" s="9">
        <f>IF(C125="","",C125-N(G125))</f>
        <v/>
      </c>
      <c r="I125" s="19" t="n"/>
      <c r="J125" s="19" t="n"/>
      <c r="K125" s="19" t="n"/>
      <c r="L125" s="20" t="n"/>
      <c r="M125" s="19" t="n"/>
    </row>
    <row r="126">
      <c r="A126" s="19" t="n"/>
      <c r="B126" s="19" t="n"/>
      <c r="C126" s="16" t="n"/>
      <c r="D126" s="19" t="n"/>
      <c r="E126" s="16" t="n"/>
      <c r="F126" s="16" t="n"/>
      <c r="G126" s="9">
        <f>IF(AND(E126="",F126=""),"",N(E126)+N(F126))</f>
        <v/>
      </c>
      <c r="H126" s="9">
        <f>IF(C126="","",C126-N(G126))</f>
        <v/>
      </c>
      <c r="I126" s="19" t="n"/>
      <c r="J126" s="19" t="n"/>
      <c r="K126" s="19" t="n"/>
      <c r="L126" s="20" t="n"/>
      <c r="M126" s="19" t="n"/>
    </row>
    <row r="127">
      <c r="A127" s="19" t="n"/>
      <c r="B127" s="19" t="n"/>
      <c r="C127" s="16" t="n"/>
      <c r="D127" s="19" t="n"/>
      <c r="E127" s="16" t="n"/>
      <c r="F127" s="16" t="n"/>
      <c r="G127" s="9">
        <f>IF(AND(E127="",F127=""),"",N(E127)+N(F127))</f>
        <v/>
      </c>
      <c r="H127" s="9">
        <f>IF(C127="","",C127-N(G127))</f>
        <v/>
      </c>
      <c r="I127" s="19" t="n"/>
      <c r="J127" s="19" t="n"/>
      <c r="K127" s="19" t="n"/>
      <c r="L127" s="20" t="n"/>
      <c r="M127" s="19" t="n"/>
    </row>
    <row r="128">
      <c r="A128" s="19" t="n"/>
      <c r="B128" s="19" t="n"/>
      <c r="C128" s="16" t="n"/>
      <c r="D128" s="19" t="n"/>
      <c r="E128" s="16" t="n"/>
      <c r="F128" s="16" t="n"/>
      <c r="G128" s="9">
        <f>IF(AND(E128="",F128=""),"",N(E128)+N(F128))</f>
        <v/>
      </c>
      <c r="H128" s="9">
        <f>IF(C128="","",C128-N(G128))</f>
        <v/>
      </c>
      <c r="I128" s="19" t="n"/>
      <c r="J128" s="19" t="n"/>
      <c r="K128" s="19" t="n"/>
      <c r="L128" s="20" t="n"/>
      <c r="M128" s="19" t="n"/>
    </row>
    <row r="129">
      <c r="A129" s="19" t="n"/>
      <c r="B129" s="19" t="n"/>
      <c r="C129" s="16" t="n"/>
      <c r="D129" s="19" t="n"/>
      <c r="E129" s="16" t="n"/>
      <c r="F129" s="16" t="n"/>
      <c r="G129" s="9">
        <f>IF(AND(E129="",F129=""),"",N(E129)+N(F129))</f>
        <v/>
      </c>
      <c r="H129" s="9">
        <f>IF(C129="","",C129-N(G129))</f>
        <v/>
      </c>
      <c r="I129" s="19" t="n"/>
      <c r="J129" s="19" t="n"/>
      <c r="K129" s="19" t="n"/>
      <c r="L129" s="20" t="n"/>
      <c r="M129" s="19" t="n"/>
    </row>
    <row r="130">
      <c r="A130" s="19" t="n"/>
      <c r="B130" s="19" t="n"/>
      <c r="C130" s="16" t="n"/>
      <c r="D130" s="19" t="n"/>
      <c r="E130" s="16" t="n"/>
      <c r="F130" s="16" t="n"/>
      <c r="G130" s="9">
        <f>IF(AND(E130="",F130=""),"",N(E130)+N(F130))</f>
        <v/>
      </c>
      <c r="H130" s="9">
        <f>IF(C130="","",C130-N(G130))</f>
        <v/>
      </c>
      <c r="I130" s="19" t="n"/>
      <c r="J130" s="19" t="n"/>
      <c r="K130" s="19" t="n"/>
      <c r="L130" s="20" t="n"/>
      <c r="M130" s="19" t="n"/>
    </row>
    <row r="131">
      <c r="A131" s="19" t="n"/>
      <c r="B131" s="19" t="n"/>
      <c r="C131" s="16" t="n"/>
      <c r="D131" s="19" t="n"/>
      <c r="E131" s="16" t="n"/>
      <c r="F131" s="16" t="n"/>
      <c r="G131" s="9">
        <f>IF(AND(E131="",F131=""),"",N(E131)+N(F131))</f>
        <v/>
      </c>
      <c r="H131" s="9">
        <f>IF(C131="","",C131-N(G131))</f>
        <v/>
      </c>
      <c r="I131" s="19" t="n"/>
      <c r="J131" s="19" t="n"/>
      <c r="K131" s="19" t="n"/>
      <c r="L131" s="20" t="n"/>
      <c r="M131" s="19" t="n"/>
    </row>
    <row r="132">
      <c r="A132" s="19" t="n"/>
      <c r="B132" s="19" t="n"/>
      <c r="C132" s="16" t="n"/>
      <c r="D132" s="19" t="n"/>
      <c r="E132" s="16" t="n"/>
      <c r="F132" s="16" t="n"/>
      <c r="G132" s="9">
        <f>IF(AND(E132="",F132=""),"",N(E132)+N(F132))</f>
        <v/>
      </c>
      <c r="H132" s="9">
        <f>IF(C132="","",C132-N(G132))</f>
        <v/>
      </c>
      <c r="I132" s="19" t="n"/>
      <c r="J132" s="19" t="n"/>
      <c r="K132" s="19" t="n"/>
      <c r="L132" s="20" t="n"/>
      <c r="M132" s="19" t="n"/>
    </row>
    <row r="133">
      <c r="A133" s="19" t="n"/>
      <c r="B133" s="19" t="n"/>
      <c r="C133" s="16" t="n"/>
      <c r="D133" s="19" t="n"/>
      <c r="E133" s="16" t="n"/>
      <c r="F133" s="16" t="n"/>
      <c r="G133" s="9">
        <f>IF(AND(E133="",F133=""),"",N(E133)+N(F133))</f>
        <v/>
      </c>
      <c r="H133" s="9">
        <f>IF(C133="","",C133-N(G133))</f>
        <v/>
      </c>
      <c r="I133" s="19" t="n"/>
      <c r="J133" s="19" t="n"/>
      <c r="K133" s="19" t="n"/>
      <c r="L133" s="20" t="n"/>
      <c r="M133" s="19" t="n"/>
    </row>
    <row r="134">
      <c r="A134" s="19" t="n"/>
      <c r="B134" s="19" t="n"/>
      <c r="C134" s="16" t="n"/>
      <c r="D134" s="19" t="n"/>
      <c r="E134" s="16" t="n"/>
      <c r="F134" s="16" t="n"/>
      <c r="G134" s="9">
        <f>IF(AND(E134="",F134=""),"",N(E134)+N(F134))</f>
        <v/>
      </c>
      <c r="H134" s="9">
        <f>IF(C134="","",C134-N(G134))</f>
        <v/>
      </c>
      <c r="I134" s="19" t="n"/>
      <c r="J134" s="19" t="n"/>
      <c r="K134" s="19" t="n"/>
      <c r="L134" s="20" t="n"/>
      <c r="M134" s="19" t="n"/>
    </row>
    <row r="135">
      <c r="A135" s="19" t="n"/>
      <c r="B135" s="19" t="n"/>
      <c r="C135" s="16" t="n"/>
      <c r="D135" s="19" t="n"/>
      <c r="E135" s="16" t="n"/>
      <c r="F135" s="16" t="n"/>
      <c r="G135" s="9">
        <f>IF(AND(E135="",F135=""),"",N(E135)+N(F135))</f>
        <v/>
      </c>
      <c r="H135" s="9">
        <f>IF(C135="","",C135-N(G135))</f>
        <v/>
      </c>
      <c r="I135" s="19" t="n"/>
      <c r="J135" s="19" t="n"/>
      <c r="K135" s="19" t="n"/>
      <c r="L135" s="20" t="n"/>
      <c r="M135" s="19" t="n"/>
    </row>
    <row r="136">
      <c r="A136" s="19" t="n"/>
      <c r="B136" s="19" t="n"/>
      <c r="C136" s="16" t="n"/>
      <c r="D136" s="19" t="n"/>
      <c r="E136" s="16" t="n"/>
      <c r="F136" s="16" t="n"/>
      <c r="G136" s="9">
        <f>IF(AND(E136="",F136=""),"",N(E136)+N(F136))</f>
        <v/>
      </c>
      <c r="H136" s="9">
        <f>IF(C136="","",C136-N(G136))</f>
        <v/>
      </c>
      <c r="I136" s="19" t="n"/>
      <c r="J136" s="19" t="n"/>
      <c r="K136" s="19" t="n"/>
      <c r="L136" s="20" t="n"/>
      <c r="M136" s="19" t="n"/>
    </row>
    <row r="137">
      <c r="A137" s="19" t="n"/>
      <c r="B137" s="19" t="n"/>
      <c r="C137" s="16" t="n"/>
      <c r="D137" s="19" t="n"/>
      <c r="E137" s="16" t="n"/>
      <c r="F137" s="16" t="n"/>
      <c r="G137" s="9">
        <f>IF(AND(E137="",F137=""),"",N(E137)+N(F137))</f>
        <v/>
      </c>
      <c r="H137" s="9">
        <f>IF(C137="","",C137-N(G137))</f>
        <v/>
      </c>
      <c r="I137" s="19" t="n"/>
      <c r="J137" s="19" t="n"/>
      <c r="K137" s="19" t="n"/>
      <c r="L137" s="20" t="n"/>
      <c r="M137" s="19" t="n"/>
    </row>
    <row r="138">
      <c r="A138" s="19" t="n"/>
      <c r="B138" s="19" t="n"/>
      <c r="C138" s="16" t="n"/>
      <c r="D138" s="19" t="n"/>
      <c r="E138" s="16" t="n"/>
      <c r="F138" s="16" t="n"/>
      <c r="G138" s="9">
        <f>IF(AND(E138="",F138=""),"",N(E138)+N(F138))</f>
        <v/>
      </c>
      <c r="H138" s="9">
        <f>IF(C138="","",C138-N(G138))</f>
        <v/>
      </c>
      <c r="I138" s="19" t="n"/>
      <c r="J138" s="19" t="n"/>
      <c r="K138" s="19" t="n"/>
      <c r="L138" s="20" t="n"/>
      <c r="M138" s="19" t="n"/>
    </row>
    <row r="139">
      <c r="A139" s="19" t="n"/>
      <c r="B139" s="19" t="n"/>
      <c r="C139" s="16" t="n"/>
      <c r="D139" s="19" t="n"/>
      <c r="E139" s="16" t="n"/>
      <c r="F139" s="16" t="n"/>
      <c r="G139" s="9">
        <f>IF(AND(E139="",F139=""),"",N(E139)+N(F139))</f>
        <v/>
      </c>
      <c r="H139" s="9">
        <f>IF(C139="","",C139-N(G139))</f>
        <v/>
      </c>
      <c r="I139" s="19" t="n"/>
      <c r="J139" s="19" t="n"/>
      <c r="K139" s="19" t="n"/>
      <c r="L139" s="20" t="n"/>
      <c r="M139" s="19" t="n"/>
    </row>
    <row r="140">
      <c r="A140" s="19" t="n"/>
      <c r="B140" s="19" t="n"/>
      <c r="C140" s="16" t="n"/>
      <c r="D140" s="19" t="n"/>
      <c r="E140" s="16" t="n"/>
      <c r="F140" s="16" t="n"/>
      <c r="G140" s="9">
        <f>IF(AND(E140="",F140=""),"",N(E140)+N(F140))</f>
        <v/>
      </c>
      <c r="H140" s="9">
        <f>IF(C140="","",C140-N(G140))</f>
        <v/>
      </c>
      <c r="I140" s="19" t="n"/>
      <c r="J140" s="19" t="n"/>
      <c r="K140" s="19" t="n"/>
      <c r="L140" s="20" t="n"/>
      <c r="M140" s="19" t="n"/>
    </row>
    <row r="141">
      <c r="A141" s="19" t="n"/>
      <c r="B141" s="19" t="n"/>
      <c r="C141" s="16" t="n"/>
      <c r="D141" s="19" t="n"/>
      <c r="E141" s="16" t="n"/>
      <c r="F141" s="16" t="n"/>
      <c r="G141" s="9">
        <f>IF(AND(E141="",F141=""),"",N(E141)+N(F141))</f>
        <v/>
      </c>
      <c r="H141" s="9">
        <f>IF(C141="","",C141-N(G141))</f>
        <v/>
      </c>
      <c r="I141" s="19" t="n"/>
      <c r="J141" s="19" t="n"/>
      <c r="K141" s="19" t="n"/>
      <c r="L141" s="20" t="n"/>
      <c r="M141" s="19" t="n"/>
    </row>
    <row r="142">
      <c r="A142" s="19" t="n"/>
      <c r="B142" s="19" t="n"/>
      <c r="C142" s="16" t="n"/>
      <c r="D142" s="19" t="n"/>
      <c r="E142" s="16" t="n"/>
      <c r="F142" s="16" t="n"/>
      <c r="G142" s="9">
        <f>IF(AND(E142="",F142=""),"",N(E142)+N(F142))</f>
        <v/>
      </c>
      <c r="H142" s="9">
        <f>IF(C142="","",C142-N(G142))</f>
        <v/>
      </c>
      <c r="I142" s="19" t="n"/>
      <c r="J142" s="19" t="n"/>
      <c r="K142" s="19" t="n"/>
      <c r="L142" s="20" t="n"/>
      <c r="M142" s="19" t="n"/>
    </row>
    <row r="143">
      <c r="A143" s="19" t="n"/>
      <c r="B143" s="19" t="n"/>
      <c r="C143" s="16" t="n"/>
      <c r="D143" s="19" t="n"/>
      <c r="E143" s="16" t="n"/>
      <c r="F143" s="16" t="n"/>
      <c r="G143" s="9">
        <f>IF(AND(E143="",F143=""),"",N(E143)+N(F143))</f>
        <v/>
      </c>
      <c r="H143" s="9">
        <f>IF(C143="","",C143-N(G143))</f>
        <v/>
      </c>
      <c r="I143" s="19" t="n"/>
      <c r="J143" s="19" t="n"/>
      <c r="K143" s="19" t="n"/>
      <c r="L143" s="20" t="n"/>
      <c r="M143" s="19" t="n"/>
    </row>
    <row r="144">
      <c r="A144" s="19" t="n"/>
      <c r="B144" s="19" t="n"/>
      <c r="C144" s="16" t="n"/>
      <c r="D144" s="19" t="n"/>
      <c r="E144" s="16" t="n"/>
      <c r="F144" s="16" t="n"/>
      <c r="G144" s="9">
        <f>IF(AND(E144="",F144=""),"",N(E144)+N(F144))</f>
        <v/>
      </c>
      <c r="H144" s="9">
        <f>IF(C144="","",C144-N(G144))</f>
        <v/>
      </c>
      <c r="I144" s="19" t="n"/>
      <c r="J144" s="19" t="n"/>
      <c r="K144" s="19" t="n"/>
      <c r="L144" s="20" t="n"/>
      <c r="M144" s="19" t="n"/>
    </row>
    <row r="145">
      <c r="A145" s="19" t="n"/>
      <c r="B145" s="19" t="n"/>
      <c r="C145" s="16" t="n"/>
      <c r="D145" s="19" t="n"/>
      <c r="E145" s="16" t="n"/>
      <c r="F145" s="16" t="n"/>
      <c r="G145" s="9">
        <f>IF(AND(E145="",F145=""),"",N(E145)+N(F145))</f>
        <v/>
      </c>
      <c r="H145" s="9">
        <f>IF(C145="","",C145-N(G145))</f>
        <v/>
      </c>
      <c r="I145" s="19" t="n"/>
      <c r="J145" s="19" t="n"/>
      <c r="K145" s="19" t="n"/>
      <c r="L145" s="20" t="n"/>
      <c r="M145" s="19" t="n"/>
    </row>
    <row r="146">
      <c r="A146" s="19" t="n"/>
      <c r="B146" s="19" t="n"/>
      <c r="C146" s="16" t="n"/>
      <c r="D146" s="19" t="n"/>
      <c r="E146" s="16" t="n"/>
      <c r="F146" s="16" t="n"/>
      <c r="G146" s="9">
        <f>IF(AND(E146="",F146=""),"",N(E146)+N(F146))</f>
        <v/>
      </c>
      <c r="H146" s="9">
        <f>IF(C146="","",C146-N(G146))</f>
        <v/>
      </c>
      <c r="I146" s="19" t="n"/>
      <c r="J146" s="19" t="n"/>
      <c r="K146" s="19" t="n"/>
      <c r="L146" s="20" t="n"/>
      <c r="M146" s="19" t="n"/>
    </row>
    <row r="147">
      <c r="A147" s="19" t="n"/>
      <c r="B147" s="19" t="n"/>
      <c r="C147" s="16" t="n"/>
      <c r="D147" s="19" t="n"/>
      <c r="E147" s="16" t="n"/>
      <c r="F147" s="16" t="n"/>
      <c r="G147" s="9">
        <f>IF(AND(E147="",F147=""),"",N(E147)+N(F147))</f>
        <v/>
      </c>
      <c r="H147" s="9">
        <f>IF(C147="","",C147-N(G147))</f>
        <v/>
      </c>
      <c r="I147" s="19" t="n"/>
      <c r="J147" s="19" t="n"/>
      <c r="K147" s="19" t="n"/>
      <c r="L147" s="20" t="n"/>
      <c r="M147" s="19" t="n"/>
    </row>
    <row r="148">
      <c r="A148" s="19" t="n"/>
      <c r="B148" s="19" t="n"/>
      <c r="C148" s="16" t="n"/>
      <c r="D148" s="19" t="n"/>
      <c r="E148" s="16" t="n"/>
      <c r="F148" s="16" t="n"/>
      <c r="G148" s="9">
        <f>IF(AND(E148="",F148=""),"",N(E148)+N(F148))</f>
        <v/>
      </c>
      <c r="H148" s="9">
        <f>IF(C148="","",C148-N(G148))</f>
        <v/>
      </c>
      <c r="I148" s="19" t="n"/>
      <c r="J148" s="19" t="n"/>
      <c r="K148" s="19" t="n"/>
      <c r="L148" s="20" t="n"/>
      <c r="M148" s="19" t="n"/>
    </row>
    <row r="149">
      <c r="A149" s="19" t="n"/>
      <c r="B149" s="19" t="n"/>
      <c r="C149" s="16" t="n"/>
      <c r="D149" s="19" t="n"/>
      <c r="E149" s="16" t="n"/>
      <c r="F149" s="16" t="n"/>
      <c r="G149" s="9">
        <f>IF(AND(E149="",F149=""),"",N(E149)+N(F149))</f>
        <v/>
      </c>
      <c r="H149" s="9">
        <f>IF(C149="","",C149-N(G149))</f>
        <v/>
      </c>
      <c r="I149" s="19" t="n"/>
      <c r="J149" s="19" t="n"/>
      <c r="K149" s="19" t="n"/>
      <c r="L149" s="20" t="n"/>
      <c r="M149" s="19" t="n"/>
    </row>
    <row r="150">
      <c r="A150" s="19" t="n"/>
      <c r="B150" s="19" t="n"/>
      <c r="C150" s="16" t="n"/>
      <c r="D150" s="19" t="n"/>
      <c r="E150" s="16" t="n"/>
      <c r="F150" s="16" t="n"/>
      <c r="G150" s="9">
        <f>IF(AND(E150="",F150=""),"",N(E150)+N(F150))</f>
        <v/>
      </c>
      <c r="H150" s="9">
        <f>IF(C150="","",C150-N(G150))</f>
        <v/>
      </c>
      <c r="I150" s="19" t="n"/>
      <c r="J150" s="19" t="n"/>
      <c r="K150" s="19" t="n"/>
      <c r="L150" s="20" t="n"/>
      <c r="M150" s="19" t="n"/>
    </row>
    <row r="151">
      <c r="A151" s="19" t="n"/>
      <c r="B151" s="19" t="n"/>
      <c r="C151" s="16" t="n"/>
      <c r="D151" s="19" t="n"/>
      <c r="E151" s="16" t="n"/>
      <c r="F151" s="16" t="n"/>
      <c r="G151" s="9">
        <f>IF(AND(E151="",F151=""),"",N(E151)+N(F151))</f>
        <v/>
      </c>
      <c r="H151" s="9">
        <f>IF(C151="","",C151-N(G151))</f>
        <v/>
      </c>
      <c r="I151" s="19" t="n"/>
      <c r="J151" s="19" t="n"/>
      <c r="K151" s="19" t="n"/>
      <c r="L151" s="20" t="n"/>
      <c r="M151" s="19" t="n"/>
    </row>
  </sheetData>
  <conditionalFormatting sqref="H2:H151">
    <cfRule type="expression" priority="1" dxfId="0">
      <formula>AND(H2&lt;&gt;"",H2&lt;0)</formula>
    </cfRule>
  </conditionalFormatting>
  <conditionalFormatting sqref="L2:L151">
    <cfRule type="expression" priority="2" dxfId="2">
      <formula>AND(L2&lt;&gt;"",L2&gt;=TODAY(),L2-TODAY()&lt;=14,I2&lt;&gt;"Given",I2&lt;&gt;"Returned")</formula>
    </cfRule>
  </conditionalFormatting>
  <dataValidations count="5">
    <dataValidation sqref="B2:B151" showDropDown="0" showInputMessage="0" showErrorMessage="0" allowBlank="1" type="list">
      <formula1>"Family,Kids,Friends,Work,Hosts,Other"</formula1>
    </dataValidation>
    <dataValidation sqref="I2:I151" showDropDown="0" showInputMessage="0" showErrorMessage="0" allowBlank="1" type="list">
      <formula1>"Idea,Ordered,Bought,Wrapped,Given,Returned"</formula1>
    </dataValidation>
    <dataValidation sqref="K2:K151" showDropDown="0" showInputMessage="0" showErrorMessage="0" allowBlank="1" type="list">
      <formula1>=Setup!$A$19:$A$23</formula1>
    </dataValidation>
    <dataValidation sqref="C2:C151 E2:F151" showDropDown="0" showInputMessage="0" showErrorMessage="0" allowBlank="1" type="decimal" operator="greaterThanOrEqual">
      <formula1>0</formula1>
    </dataValidation>
    <dataValidation sqref="L2:L151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12" customWidth="1" min="4" max="4"/>
    <col width="16" customWidth="1" min="5" max="5"/>
    <col width="30" customWidth="1" min="6" max="6"/>
  </cols>
  <sheetData>
    <row r="1">
      <c r="A1" s="7" t="inlineStr">
        <is>
          <t>Date</t>
        </is>
      </c>
      <c r="B1" s="7" t="inlineStr">
        <is>
          <t>Category</t>
        </is>
      </c>
      <c r="C1" s="7" t="inlineStr">
        <is>
          <t>What</t>
        </is>
      </c>
      <c r="D1" s="7" t="inlineStr">
        <is>
          <t>Amount</t>
        </is>
      </c>
      <c r="E1" s="7" t="inlineStr">
        <is>
          <t>Paid with</t>
        </is>
      </c>
      <c r="F1" s="7" t="inlineStr">
        <is>
          <t>Notes</t>
        </is>
      </c>
    </row>
    <row r="2">
      <c r="A2" s="20" t="n">
        <v>46354</v>
      </c>
      <c r="B2" s="19" t="inlineStr">
        <is>
          <t>Decorations</t>
        </is>
      </c>
      <c r="C2" s="19" t="inlineStr">
        <is>
          <t>Example: lights + wreath</t>
        </is>
      </c>
      <c r="D2" s="16" t="n">
        <v>42</v>
      </c>
      <c r="E2" s="19" t="inlineStr">
        <is>
          <t>Debit card</t>
        </is>
      </c>
      <c r="F2" s="19" t="n"/>
    </row>
    <row r="3">
      <c r="A3" s="20" t="n">
        <v>46358</v>
      </c>
      <c r="B3" s="19" t="inlineStr">
        <is>
          <t>Cards &amp; postage</t>
        </is>
      </c>
      <c r="C3" s="19" t="inlineStr">
        <is>
          <t>Example: 20 cards + stamps</t>
        </is>
      </c>
      <c r="D3" s="16" t="n">
        <v>31.4</v>
      </c>
      <c r="E3" s="19" t="inlineStr">
        <is>
          <t>Cash</t>
        </is>
      </c>
      <c r="F3" s="19" t="n"/>
    </row>
    <row r="4">
      <c r="A4" s="20" t="n">
        <v>46376</v>
      </c>
      <c r="B4" s="19" t="inlineStr">
        <is>
          <t>Food &amp; hosting</t>
        </is>
      </c>
      <c r="C4" s="19" t="inlineStr">
        <is>
          <t>Example: dinner groceries</t>
        </is>
      </c>
      <c r="D4" s="16" t="n">
        <v>186.25</v>
      </c>
      <c r="E4" s="19" t="inlineStr">
        <is>
          <t>Credit card</t>
        </is>
      </c>
      <c r="F4" s="19" t="n"/>
    </row>
    <row r="5">
      <c r="A5" s="20" t="n">
        <v>46379</v>
      </c>
      <c r="B5" s="19" t="inlineStr">
        <is>
          <t>Travel</t>
        </is>
      </c>
      <c r="C5" s="19" t="inlineStr">
        <is>
          <t>Example: train tickets</t>
        </is>
      </c>
      <c r="D5" s="16" t="n">
        <v>128</v>
      </c>
      <c r="E5" s="19" t="inlineStr">
        <is>
          <t>Credit card</t>
        </is>
      </c>
      <c r="F5" s="19" t="n"/>
    </row>
    <row r="6">
      <c r="A6" s="20" t="n"/>
      <c r="B6" s="19" t="n"/>
      <c r="C6" s="19" t="n"/>
      <c r="D6" s="16" t="n"/>
      <c r="E6" s="19" t="n"/>
      <c r="F6" s="19" t="n"/>
    </row>
    <row r="7">
      <c r="A7" s="20" t="n"/>
      <c r="B7" s="19" t="n"/>
      <c r="C7" s="19" t="n"/>
      <c r="D7" s="16" t="n"/>
      <c r="E7" s="19" t="n"/>
      <c r="F7" s="19" t="n"/>
    </row>
    <row r="8">
      <c r="A8" s="20" t="n"/>
      <c r="B8" s="19" t="n"/>
      <c r="C8" s="19" t="n"/>
      <c r="D8" s="16" t="n"/>
      <c r="E8" s="19" t="n"/>
      <c r="F8" s="19" t="n"/>
    </row>
    <row r="9">
      <c r="A9" s="20" t="n"/>
      <c r="B9" s="19" t="n"/>
      <c r="C9" s="19" t="n"/>
      <c r="D9" s="16" t="n"/>
      <c r="E9" s="19" t="n"/>
      <c r="F9" s="19" t="n"/>
    </row>
    <row r="10">
      <c r="A10" s="20" t="n"/>
      <c r="B10" s="19" t="n"/>
      <c r="C10" s="19" t="n"/>
      <c r="D10" s="16" t="n"/>
      <c r="E10" s="19" t="n"/>
      <c r="F10" s="19" t="n"/>
    </row>
    <row r="11">
      <c r="A11" s="20" t="n"/>
      <c r="B11" s="19" t="n"/>
      <c r="C11" s="19" t="n"/>
      <c r="D11" s="16" t="n"/>
      <c r="E11" s="19" t="n"/>
      <c r="F11" s="19" t="n"/>
    </row>
    <row r="12">
      <c r="A12" s="20" t="n"/>
      <c r="B12" s="19" t="n"/>
      <c r="C12" s="19" t="n"/>
      <c r="D12" s="16" t="n"/>
      <c r="E12" s="19" t="n"/>
      <c r="F12" s="19" t="n"/>
    </row>
    <row r="13">
      <c r="A13" s="20" t="n"/>
      <c r="B13" s="19" t="n"/>
      <c r="C13" s="19" t="n"/>
      <c r="D13" s="16" t="n"/>
      <c r="E13" s="19" t="n"/>
      <c r="F13" s="19" t="n"/>
    </row>
    <row r="14">
      <c r="A14" s="20" t="n"/>
      <c r="B14" s="19" t="n"/>
      <c r="C14" s="19" t="n"/>
      <c r="D14" s="16" t="n"/>
      <c r="E14" s="19" t="n"/>
      <c r="F14" s="19" t="n"/>
    </row>
    <row r="15">
      <c r="A15" s="20" t="n"/>
      <c r="B15" s="19" t="n"/>
      <c r="C15" s="19" t="n"/>
      <c r="D15" s="16" t="n"/>
      <c r="E15" s="19" t="n"/>
      <c r="F15" s="19" t="n"/>
    </row>
    <row r="16">
      <c r="A16" s="20" t="n"/>
      <c r="B16" s="19" t="n"/>
      <c r="C16" s="19" t="n"/>
      <c r="D16" s="16" t="n"/>
      <c r="E16" s="19" t="n"/>
      <c r="F16" s="19" t="n"/>
    </row>
    <row r="17">
      <c r="A17" s="20" t="n"/>
      <c r="B17" s="19" t="n"/>
      <c r="C17" s="19" t="n"/>
      <c r="D17" s="16" t="n"/>
      <c r="E17" s="19" t="n"/>
      <c r="F17" s="19" t="n"/>
    </row>
    <row r="18">
      <c r="A18" s="20" t="n"/>
      <c r="B18" s="19" t="n"/>
      <c r="C18" s="19" t="n"/>
      <c r="D18" s="16" t="n"/>
      <c r="E18" s="19" t="n"/>
      <c r="F18" s="19" t="n"/>
    </row>
    <row r="19">
      <c r="A19" s="20" t="n"/>
      <c r="B19" s="19" t="n"/>
      <c r="C19" s="19" t="n"/>
      <c r="D19" s="16" t="n"/>
      <c r="E19" s="19" t="n"/>
      <c r="F19" s="19" t="n"/>
    </row>
    <row r="20">
      <c r="A20" s="20" t="n"/>
      <c r="B20" s="19" t="n"/>
      <c r="C20" s="19" t="n"/>
      <c r="D20" s="16" t="n"/>
      <c r="E20" s="19" t="n"/>
      <c r="F20" s="19" t="n"/>
    </row>
    <row r="21">
      <c r="A21" s="20" t="n"/>
      <c r="B21" s="19" t="n"/>
      <c r="C21" s="19" t="n"/>
      <c r="D21" s="16" t="n"/>
      <c r="E21" s="19" t="n"/>
      <c r="F21" s="19" t="n"/>
    </row>
    <row r="22">
      <c r="A22" s="20" t="n"/>
      <c r="B22" s="19" t="n"/>
      <c r="C22" s="19" t="n"/>
      <c r="D22" s="16" t="n"/>
      <c r="E22" s="19" t="n"/>
      <c r="F22" s="19" t="n"/>
    </row>
    <row r="23">
      <c r="A23" s="20" t="n"/>
      <c r="B23" s="19" t="n"/>
      <c r="C23" s="19" t="n"/>
      <c r="D23" s="16" t="n"/>
      <c r="E23" s="19" t="n"/>
      <c r="F23" s="19" t="n"/>
    </row>
    <row r="24">
      <c r="A24" s="20" t="n"/>
      <c r="B24" s="19" t="n"/>
      <c r="C24" s="19" t="n"/>
      <c r="D24" s="16" t="n"/>
      <c r="E24" s="19" t="n"/>
      <c r="F24" s="19" t="n"/>
    </row>
    <row r="25">
      <c r="A25" s="20" t="n"/>
      <c r="B25" s="19" t="n"/>
      <c r="C25" s="19" t="n"/>
      <c r="D25" s="16" t="n"/>
      <c r="E25" s="19" t="n"/>
      <c r="F25" s="19" t="n"/>
    </row>
    <row r="26">
      <c r="A26" s="20" t="n"/>
      <c r="B26" s="19" t="n"/>
      <c r="C26" s="19" t="n"/>
      <c r="D26" s="16" t="n"/>
      <c r="E26" s="19" t="n"/>
      <c r="F26" s="19" t="n"/>
    </row>
    <row r="27">
      <c r="A27" s="20" t="n"/>
      <c r="B27" s="19" t="n"/>
      <c r="C27" s="19" t="n"/>
      <c r="D27" s="16" t="n"/>
      <c r="E27" s="19" t="n"/>
      <c r="F27" s="19" t="n"/>
    </row>
    <row r="28">
      <c r="A28" s="20" t="n"/>
      <c r="B28" s="19" t="n"/>
      <c r="C28" s="19" t="n"/>
      <c r="D28" s="16" t="n"/>
      <c r="E28" s="19" t="n"/>
      <c r="F28" s="19" t="n"/>
    </row>
    <row r="29">
      <c r="A29" s="20" t="n"/>
      <c r="B29" s="19" t="n"/>
      <c r="C29" s="19" t="n"/>
      <c r="D29" s="16" t="n"/>
      <c r="E29" s="19" t="n"/>
      <c r="F29" s="19" t="n"/>
    </row>
    <row r="30">
      <c r="A30" s="20" t="n"/>
      <c r="B30" s="19" t="n"/>
      <c r="C30" s="19" t="n"/>
      <c r="D30" s="16" t="n"/>
      <c r="E30" s="19" t="n"/>
      <c r="F30" s="19" t="n"/>
    </row>
    <row r="31">
      <c r="A31" s="20" t="n"/>
      <c r="B31" s="19" t="n"/>
      <c r="C31" s="19" t="n"/>
      <c r="D31" s="16" t="n"/>
      <c r="E31" s="19" t="n"/>
      <c r="F31" s="19" t="n"/>
    </row>
    <row r="32">
      <c r="A32" s="20" t="n"/>
      <c r="B32" s="19" t="n"/>
      <c r="C32" s="19" t="n"/>
      <c r="D32" s="16" t="n"/>
      <c r="E32" s="19" t="n"/>
      <c r="F32" s="19" t="n"/>
    </row>
    <row r="33">
      <c r="A33" s="20" t="n"/>
      <c r="B33" s="19" t="n"/>
      <c r="C33" s="19" t="n"/>
      <c r="D33" s="16" t="n"/>
      <c r="E33" s="19" t="n"/>
      <c r="F33" s="19" t="n"/>
    </row>
    <row r="34">
      <c r="A34" s="20" t="n"/>
      <c r="B34" s="19" t="n"/>
      <c r="C34" s="19" t="n"/>
      <c r="D34" s="16" t="n"/>
      <c r="E34" s="19" t="n"/>
      <c r="F34" s="19" t="n"/>
    </row>
    <row r="35">
      <c r="A35" s="20" t="n"/>
      <c r="B35" s="19" t="n"/>
      <c r="C35" s="19" t="n"/>
      <c r="D35" s="16" t="n"/>
      <c r="E35" s="19" t="n"/>
      <c r="F35" s="19" t="n"/>
    </row>
    <row r="36">
      <c r="A36" s="20" t="n"/>
      <c r="B36" s="19" t="n"/>
      <c r="C36" s="19" t="n"/>
      <c r="D36" s="16" t="n"/>
      <c r="E36" s="19" t="n"/>
      <c r="F36" s="19" t="n"/>
    </row>
    <row r="37">
      <c r="A37" s="20" t="n"/>
      <c r="B37" s="19" t="n"/>
      <c r="C37" s="19" t="n"/>
      <c r="D37" s="16" t="n"/>
      <c r="E37" s="19" t="n"/>
      <c r="F37" s="19" t="n"/>
    </row>
    <row r="38">
      <c r="A38" s="20" t="n"/>
      <c r="B38" s="19" t="n"/>
      <c r="C38" s="19" t="n"/>
      <c r="D38" s="16" t="n"/>
      <c r="E38" s="19" t="n"/>
      <c r="F38" s="19" t="n"/>
    </row>
    <row r="39">
      <c r="A39" s="20" t="n"/>
      <c r="B39" s="19" t="n"/>
      <c r="C39" s="19" t="n"/>
      <c r="D39" s="16" t="n"/>
      <c r="E39" s="19" t="n"/>
      <c r="F39" s="19" t="n"/>
    </row>
    <row r="40">
      <c r="A40" s="20" t="n"/>
      <c r="B40" s="19" t="n"/>
      <c r="C40" s="19" t="n"/>
      <c r="D40" s="16" t="n"/>
      <c r="E40" s="19" t="n"/>
      <c r="F40" s="19" t="n"/>
    </row>
    <row r="41">
      <c r="A41" s="20" t="n"/>
      <c r="B41" s="19" t="n"/>
      <c r="C41" s="19" t="n"/>
      <c r="D41" s="16" t="n"/>
      <c r="E41" s="19" t="n"/>
      <c r="F41" s="19" t="n"/>
    </row>
    <row r="42">
      <c r="A42" s="20" t="n"/>
      <c r="B42" s="19" t="n"/>
      <c r="C42" s="19" t="n"/>
      <c r="D42" s="16" t="n"/>
      <c r="E42" s="19" t="n"/>
      <c r="F42" s="19" t="n"/>
    </row>
    <row r="43">
      <c r="A43" s="20" t="n"/>
      <c r="B43" s="19" t="n"/>
      <c r="C43" s="19" t="n"/>
      <c r="D43" s="16" t="n"/>
      <c r="E43" s="19" t="n"/>
      <c r="F43" s="19" t="n"/>
    </row>
    <row r="44">
      <c r="A44" s="20" t="n"/>
      <c r="B44" s="19" t="n"/>
      <c r="C44" s="19" t="n"/>
      <c r="D44" s="16" t="n"/>
      <c r="E44" s="19" t="n"/>
      <c r="F44" s="19" t="n"/>
    </row>
    <row r="45">
      <c r="A45" s="20" t="n"/>
      <c r="B45" s="19" t="n"/>
      <c r="C45" s="19" t="n"/>
      <c r="D45" s="16" t="n"/>
      <c r="E45" s="19" t="n"/>
      <c r="F45" s="19" t="n"/>
    </row>
    <row r="46">
      <c r="A46" s="20" t="n"/>
      <c r="B46" s="19" t="n"/>
      <c r="C46" s="19" t="n"/>
      <c r="D46" s="16" t="n"/>
      <c r="E46" s="19" t="n"/>
      <c r="F46" s="19" t="n"/>
    </row>
    <row r="47">
      <c r="A47" s="20" t="n"/>
      <c r="B47" s="19" t="n"/>
      <c r="C47" s="19" t="n"/>
      <c r="D47" s="16" t="n"/>
      <c r="E47" s="19" t="n"/>
      <c r="F47" s="19" t="n"/>
    </row>
    <row r="48">
      <c r="A48" s="20" t="n"/>
      <c r="B48" s="19" t="n"/>
      <c r="C48" s="19" t="n"/>
      <c r="D48" s="16" t="n"/>
      <c r="E48" s="19" t="n"/>
      <c r="F48" s="19" t="n"/>
    </row>
    <row r="49">
      <c r="A49" s="20" t="n"/>
      <c r="B49" s="19" t="n"/>
      <c r="C49" s="19" t="n"/>
      <c r="D49" s="16" t="n"/>
      <c r="E49" s="19" t="n"/>
      <c r="F49" s="19" t="n"/>
    </row>
    <row r="50">
      <c r="A50" s="20" t="n"/>
      <c r="B50" s="19" t="n"/>
      <c r="C50" s="19" t="n"/>
      <c r="D50" s="16" t="n"/>
      <c r="E50" s="19" t="n"/>
      <c r="F50" s="19" t="n"/>
    </row>
    <row r="51">
      <c r="A51" s="20" t="n"/>
      <c r="B51" s="19" t="n"/>
      <c r="C51" s="19" t="n"/>
      <c r="D51" s="16" t="n"/>
      <c r="E51" s="19" t="n"/>
      <c r="F51" s="19" t="n"/>
    </row>
    <row r="52">
      <c r="A52" s="20" t="n"/>
      <c r="B52" s="19" t="n"/>
      <c r="C52" s="19" t="n"/>
      <c r="D52" s="16" t="n"/>
      <c r="E52" s="19" t="n"/>
      <c r="F52" s="19" t="n"/>
    </row>
    <row r="53">
      <c r="A53" s="20" t="n"/>
      <c r="B53" s="19" t="n"/>
      <c r="C53" s="19" t="n"/>
      <c r="D53" s="16" t="n"/>
      <c r="E53" s="19" t="n"/>
      <c r="F53" s="19" t="n"/>
    </row>
    <row r="54">
      <c r="A54" s="20" t="n"/>
      <c r="B54" s="19" t="n"/>
      <c r="C54" s="19" t="n"/>
      <c r="D54" s="16" t="n"/>
      <c r="E54" s="19" t="n"/>
      <c r="F54" s="19" t="n"/>
    </row>
    <row r="55">
      <c r="A55" s="20" t="n"/>
      <c r="B55" s="19" t="n"/>
      <c r="C55" s="19" t="n"/>
      <c r="D55" s="16" t="n"/>
      <c r="E55" s="19" t="n"/>
      <c r="F55" s="19" t="n"/>
    </row>
    <row r="56">
      <c r="A56" s="20" t="n"/>
      <c r="B56" s="19" t="n"/>
      <c r="C56" s="19" t="n"/>
      <c r="D56" s="16" t="n"/>
      <c r="E56" s="19" t="n"/>
      <c r="F56" s="19" t="n"/>
    </row>
    <row r="57">
      <c r="A57" s="20" t="n"/>
      <c r="B57" s="19" t="n"/>
      <c r="C57" s="19" t="n"/>
      <c r="D57" s="16" t="n"/>
      <c r="E57" s="19" t="n"/>
      <c r="F57" s="19" t="n"/>
    </row>
    <row r="58">
      <c r="A58" s="20" t="n"/>
      <c r="B58" s="19" t="n"/>
      <c r="C58" s="19" t="n"/>
      <c r="D58" s="16" t="n"/>
      <c r="E58" s="19" t="n"/>
      <c r="F58" s="19" t="n"/>
    </row>
    <row r="59">
      <c r="A59" s="20" t="n"/>
      <c r="B59" s="19" t="n"/>
      <c r="C59" s="19" t="n"/>
      <c r="D59" s="16" t="n"/>
      <c r="E59" s="19" t="n"/>
      <c r="F59" s="19" t="n"/>
    </row>
    <row r="60">
      <c r="A60" s="20" t="n"/>
      <c r="B60" s="19" t="n"/>
      <c r="C60" s="19" t="n"/>
      <c r="D60" s="16" t="n"/>
      <c r="E60" s="19" t="n"/>
      <c r="F60" s="19" t="n"/>
    </row>
    <row r="61">
      <c r="A61" s="20" t="n"/>
      <c r="B61" s="19" t="n"/>
      <c r="C61" s="19" t="n"/>
      <c r="D61" s="16" t="n"/>
      <c r="E61" s="19" t="n"/>
      <c r="F61" s="19" t="n"/>
    </row>
    <row r="62">
      <c r="A62" s="20" t="n"/>
      <c r="B62" s="19" t="n"/>
      <c r="C62" s="19" t="n"/>
      <c r="D62" s="16" t="n"/>
      <c r="E62" s="19" t="n"/>
      <c r="F62" s="19" t="n"/>
    </row>
    <row r="63">
      <c r="A63" s="20" t="n"/>
      <c r="B63" s="19" t="n"/>
      <c r="C63" s="19" t="n"/>
      <c r="D63" s="16" t="n"/>
      <c r="E63" s="19" t="n"/>
      <c r="F63" s="19" t="n"/>
    </row>
    <row r="64">
      <c r="A64" s="20" t="n"/>
      <c r="B64" s="19" t="n"/>
      <c r="C64" s="19" t="n"/>
      <c r="D64" s="16" t="n"/>
      <c r="E64" s="19" t="n"/>
      <c r="F64" s="19" t="n"/>
    </row>
    <row r="65">
      <c r="A65" s="20" t="n"/>
      <c r="B65" s="19" t="n"/>
      <c r="C65" s="19" t="n"/>
      <c r="D65" s="16" t="n"/>
      <c r="E65" s="19" t="n"/>
      <c r="F65" s="19" t="n"/>
    </row>
    <row r="66">
      <c r="A66" s="20" t="n"/>
      <c r="B66" s="19" t="n"/>
      <c r="C66" s="19" t="n"/>
      <c r="D66" s="16" t="n"/>
      <c r="E66" s="19" t="n"/>
      <c r="F66" s="19" t="n"/>
    </row>
    <row r="67">
      <c r="A67" s="20" t="n"/>
      <c r="B67" s="19" t="n"/>
      <c r="C67" s="19" t="n"/>
      <c r="D67" s="16" t="n"/>
      <c r="E67" s="19" t="n"/>
      <c r="F67" s="19" t="n"/>
    </row>
    <row r="68">
      <c r="A68" s="20" t="n"/>
      <c r="B68" s="19" t="n"/>
      <c r="C68" s="19" t="n"/>
      <c r="D68" s="16" t="n"/>
      <c r="E68" s="19" t="n"/>
      <c r="F68" s="19" t="n"/>
    </row>
    <row r="69">
      <c r="A69" s="20" t="n"/>
      <c r="B69" s="19" t="n"/>
      <c r="C69" s="19" t="n"/>
      <c r="D69" s="16" t="n"/>
      <c r="E69" s="19" t="n"/>
      <c r="F69" s="19" t="n"/>
    </row>
    <row r="70">
      <c r="A70" s="20" t="n"/>
      <c r="B70" s="19" t="n"/>
      <c r="C70" s="19" t="n"/>
      <c r="D70" s="16" t="n"/>
      <c r="E70" s="19" t="n"/>
      <c r="F70" s="19" t="n"/>
    </row>
    <row r="71">
      <c r="A71" s="20" t="n"/>
      <c r="B71" s="19" t="n"/>
      <c r="C71" s="19" t="n"/>
      <c r="D71" s="16" t="n"/>
      <c r="E71" s="19" t="n"/>
      <c r="F71" s="19" t="n"/>
    </row>
    <row r="72">
      <c r="A72" s="20" t="n"/>
      <c r="B72" s="19" t="n"/>
      <c r="C72" s="19" t="n"/>
      <c r="D72" s="16" t="n"/>
      <c r="E72" s="19" t="n"/>
      <c r="F72" s="19" t="n"/>
    </row>
    <row r="73">
      <c r="A73" s="20" t="n"/>
      <c r="B73" s="19" t="n"/>
      <c r="C73" s="19" t="n"/>
      <c r="D73" s="16" t="n"/>
      <c r="E73" s="19" t="n"/>
      <c r="F73" s="19" t="n"/>
    </row>
    <row r="74">
      <c r="A74" s="20" t="n"/>
      <c r="B74" s="19" t="n"/>
      <c r="C74" s="19" t="n"/>
      <c r="D74" s="16" t="n"/>
      <c r="E74" s="19" t="n"/>
      <c r="F74" s="19" t="n"/>
    </row>
    <row r="75">
      <c r="A75" s="20" t="n"/>
      <c r="B75" s="19" t="n"/>
      <c r="C75" s="19" t="n"/>
      <c r="D75" s="16" t="n"/>
      <c r="E75" s="19" t="n"/>
      <c r="F75" s="19" t="n"/>
    </row>
    <row r="76">
      <c r="A76" s="20" t="n"/>
      <c r="B76" s="19" t="n"/>
      <c r="C76" s="19" t="n"/>
      <c r="D76" s="16" t="n"/>
      <c r="E76" s="19" t="n"/>
      <c r="F76" s="19" t="n"/>
    </row>
    <row r="77">
      <c r="A77" s="20" t="n"/>
      <c r="B77" s="19" t="n"/>
      <c r="C77" s="19" t="n"/>
      <c r="D77" s="16" t="n"/>
      <c r="E77" s="19" t="n"/>
      <c r="F77" s="19" t="n"/>
    </row>
    <row r="78">
      <c r="A78" s="20" t="n"/>
      <c r="B78" s="19" t="n"/>
      <c r="C78" s="19" t="n"/>
      <c r="D78" s="16" t="n"/>
      <c r="E78" s="19" t="n"/>
      <c r="F78" s="19" t="n"/>
    </row>
    <row r="79">
      <c r="A79" s="20" t="n"/>
      <c r="B79" s="19" t="n"/>
      <c r="C79" s="19" t="n"/>
      <c r="D79" s="16" t="n"/>
      <c r="E79" s="19" t="n"/>
      <c r="F79" s="19" t="n"/>
    </row>
    <row r="80">
      <c r="A80" s="20" t="n"/>
      <c r="B80" s="19" t="n"/>
      <c r="C80" s="19" t="n"/>
      <c r="D80" s="16" t="n"/>
      <c r="E80" s="19" t="n"/>
      <c r="F80" s="19" t="n"/>
    </row>
    <row r="81">
      <c r="A81" s="20" t="n"/>
      <c r="B81" s="19" t="n"/>
      <c r="C81" s="19" t="n"/>
      <c r="D81" s="16" t="n"/>
      <c r="E81" s="19" t="n"/>
      <c r="F81" s="19" t="n"/>
    </row>
    <row r="82">
      <c r="A82" s="20" t="n"/>
      <c r="B82" s="19" t="n"/>
      <c r="C82" s="19" t="n"/>
      <c r="D82" s="16" t="n"/>
      <c r="E82" s="19" t="n"/>
      <c r="F82" s="19" t="n"/>
    </row>
    <row r="83">
      <c r="A83" s="20" t="n"/>
      <c r="B83" s="19" t="n"/>
      <c r="C83" s="19" t="n"/>
      <c r="D83" s="16" t="n"/>
      <c r="E83" s="19" t="n"/>
      <c r="F83" s="19" t="n"/>
    </row>
    <row r="84">
      <c r="A84" s="20" t="n"/>
      <c r="B84" s="19" t="n"/>
      <c r="C84" s="19" t="n"/>
      <c r="D84" s="16" t="n"/>
      <c r="E84" s="19" t="n"/>
      <c r="F84" s="19" t="n"/>
    </row>
    <row r="85">
      <c r="A85" s="20" t="n"/>
      <c r="B85" s="19" t="n"/>
      <c r="C85" s="19" t="n"/>
      <c r="D85" s="16" t="n"/>
      <c r="E85" s="19" t="n"/>
      <c r="F85" s="19" t="n"/>
    </row>
    <row r="86">
      <c r="A86" s="20" t="n"/>
      <c r="B86" s="19" t="n"/>
      <c r="C86" s="19" t="n"/>
      <c r="D86" s="16" t="n"/>
      <c r="E86" s="19" t="n"/>
      <c r="F86" s="19" t="n"/>
    </row>
    <row r="87">
      <c r="A87" s="20" t="n"/>
      <c r="B87" s="19" t="n"/>
      <c r="C87" s="19" t="n"/>
      <c r="D87" s="16" t="n"/>
      <c r="E87" s="19" t="n"/>
      <c r="F87" s="19" t="n"/>
    </row>
    <row r="88">
      <c r="A88" s="20" t="n"/>
      <c r="B88" s="19" t="n"/>
      <c r="C88" s="19" t="n"/>
      <c r="D88" s="16" t="n"/>
      <c r="E88" s="19" t="n"/>
      <c r="F88" s="19" t="n"/>
    </row>
    <row r="89">
      <c r="A89" s="20" t="n"/>
      <c r="B89" s="19" t="n"/>
      <c r="C89" s="19" t="n"/>
      <c r="D89" s="16" t="n"/>
      <c r="E89" s="19" t="n"/>
      <c r="F89" s="19" t="n"/>
    </row>
    <row r="90">
      <c r="A90" s="20" t="n"/>
      <c r="B90" s="19" t="n"/>
      <c r="C90" s="19" t="n"/>
      <c r="D90" s="16" t="n"/>
      <c r="E90" s="19" t="n"/>
      <c r="F90" s="19" t="n"/>
    </row>
    <row r="91">
      <c r="A91" s="20" t="n"/>
      <c r="B91" s="19" t="n"/>
      <c r="C91" s="19" t="n"/>
      <c r="D91" s="16" t="n"/>
      <c r="E91" s="19" t="n"/>
      <c r="F91" s="19" t="n"/>
    </row>
    <row r="92">
      <c r="A92" s="20" t="n"/>
      <c r="B92" s="19" t="n"/>
      <c r="C92" s="19" t="n"/>
      <c r="D92" s="16" t="n"/>
      <c r="E92" s="19" t="n"/>
      <c r="F92" s="19" t="n"/>
    </row>
    <row r="93">
      <c r="A93" s="20" t="n"/>
      <c r="B93" s="19" t="n"/>
      <c r="C93" s="19" t="n"/>
      <c r="D93" s="16" t="n"/>
      <c r="E93" s="19" t="n"/>
      <c r="F93" s="19" t="n"/>
    </row>
    <row r="94">
      <c r="A94" s="20" t="n"/>
      <c r="B94" s="19" t="n"/>
      <c r="C94" s="19" t="n"/>
      <c r="D94" s="16" t="n"/>
      <c r="E94" s="19" t="n"/>
      <c r="F94" s="19" t="n"/>
    </row>
    <row r="95">
      <c r="A95" s="20" t="n"/>
      <c r="B95" s="19" t="n"/>
      <c r="C95" s="19" t="n"/>
      <c r="D95" s="16" t="n"/>
      <c r="E95" s="19" t="n"/>
      <c r="F95" s="19" t="n"/>
    </row>
    <row r="96">
      <c r="A96" s="20" t="n"/>
      <c r="B96" s="19" t="n"/>
      <c r="C96" s="19" t="n"/>
      <c r="D96" s="16" t="n"/>
      <c r="E96" s="19" t="n"/>
      <c r="F96" s="19" t="n"/>
    </row>
    <row r="97">
      <c r="A97" s="20" t="n"/>
      <c r="B97" s="19" t="n"/>
      <c r="C97" s="19" t="n"/>
      <c r="D97" s="16" t="n"/>
      <c r="E97" s="19" t="n"/>
      <c r="F97" s="19" t="n"/>
    </row>
    <row r="98">
      <c r="A98" s="20" t="n"/>
      <c r="B98" s="19" t="n"/>
      <c r="C98" s="19" t="n"/>
      <c r="D98" s="16" t="n"/>
      <c r="E98" s="19" t="n"/>
      <c r="F98" s="19" t="n"/>
    </row>
    <row r="99">
      <c r="A99" s="20" t="n"/>
      <c r="B99" s="19" t="n"/>
      <c r="C99" s="19" t="n"/>
      <c r="D99" s="16" t="n"/>
      <c r="E99" s="19" t="n"/>
      <c r="F99" s="19" t="n"/>
    </row>
    <row r="100">
      <c r="A100" s="20" t="n"/>
      <c r="B100" s="19" t="n"/>
      <c r="C100" s="19" t="n"/>
      <c r="D100" s="16" t="n"/>
      <c r="E100" s="19" t="n"/>
      <c r="F100" s="19" t="n"/>
    </row>
    <row r="101">
      <c r="A101" s="20" t="n"/>
      <c r="B101" s="19" t="n"/>
      <c r="C101" s="19" t="n"/>
      <c r="D101" s="16" t="n"/>
      <c r="E101" s="19" t="n"/>
      <c r="F101" s="19" t="n"/>
    </row>
    <row r="102">
      <c r="A102" s="20" t="n"/>
      <c r="B102" s="19" t="n"/>
      <c r="C102" s="19" t="n"/>
      <c r="D102" s="16" t="n"/>
      <c r="E102" s="19" t="n"/>
      <c r="F102" s="19" t="n"/>
    </row>
    <row r="103">
      <c r="A103" s="20" t="n"/>
      <c r="B103" s="19" t="n"/>
      <c r="C103" s="19" t="n"/>
      <c r="D103" s="16" t="n"/>
      <c r="E103" s="19" t="n"/>
      <c r="F103" s="19" t="n"/>
    </row>
    <row r="104">
      <c r="A104" s="20" t="n"/>
      <c r="B104" s="19" t="n"/>
      <c r="C104" s="19" t="n"/>
      <c r="D104" s="16" t="n"/>
      <c r="E104" s="19" t="n"/>
      <c r="F104" s="19" t="n"/>
    </row>
    <row r="105">
      <c r="A105" s="20" t="n"/>
      <c r="B105" s="19" t="n"/>
      <c r="C105" s="19" t="n"/>
      <c r="D105" s="16" t="n"/>
      <c r="E105" s="19" t="n"/>
      <c r="F105" s="19" t="n"/>
    </row>
    <row r="106">
      <c r="A106" s="20" t="n"/>
      <c r="B106" s="19" t="n"/>
      <c r="C106" s="19" t="n"/>
      <c r="D106" s="16" t="n"/>
      <c r="E106" s="19" t="n"/>
      <c r="F106" s="19" t="n"/>
    </row>
    <row r="107">
      <c r="A107" s="20" t="n"/>
      <c r="B107" s="19" t="n"/>
      <c r="C107" s="19" t="n"/>
      <c r="D107" s="16" t="n"/>
      <c r="E107" s="19" t="n"/>
      <c r="F107" s="19" t="n"/>
    </row>
    <row r="108">
      <c r="A108" s="20" t="n"/>
      <c r="B108" s="19" t="n"/>
      <c r="C108" s="19" t="n"/>
      <c r="D108" s="16" t="n"/>
      <c r="E108" s="19" t="n"/>
      <c r="F108" s="19" t="n"/>
    </row>
    <row r="109">
      <c r="A109" s="20" t="n"/>
      <c r="B109" s="19" t="n"/>
      <c r="C109" s="19" t="n"/>
      <c r="D109" s="16" t="n"/>
      <c r="E109" s="19" t="n"/>
      <c r="F109" s="19" t="n"/>
    </row>
    <row r="110">
      <c r="A110" s="20" t="n"/>
      <c r="B110" s="19" t="n"/>
      <c r="C110" s="19" t="n"/>
      <c r="D110" s="16" t="n"/>
      <c r="E110" s="19" t="n"/>
      <c r="F110" s="19" t="n"/>
    </row>
    <row r="111">
      <c r="A111" s="20" t="n"/>
      <c r="B111" s="19" t="n"/>
      <c r="C111" s="19" t="n"/>
      <c r="D111" s="16" t="n"/>
      <c r="E111" s="19" t="n"/>
      <c r="F111" s="19" t="n"/>
    </row>
    <row r="112">
      <c r="A112" s="20" t="n"/>
      <c r="B112" s="19" t="n"/>
      <c r="C112" s="19" t="n"/>
      <c r="D112" s="16" t="n"/>
      <c r="E112" s="19" t="n"/>
      <c r="F112" s="19" t="n"/>
    </row>
    <row r="113">
      <c r="A113" s="20" t="n"/>
      <c r="B113" s="19" t="n"/>
      <c r="C113" s="19" t="n"/>
      <c r="D113" s="16" t="n"/>
      <c r="E113" s="19" t="n"/>
      <c r="F113" s="19" t="n"/>
    </row>
    <row r="114">
      <c r="A114" s="20" t="n"/>
      <c r="B114" s="19" t="n"/>
      <c r="C114" s="19" t="n"/>
      <c r="D114" s="16" t="n"/>
      <c r="E114" s="19" t="n"/>
      <c r="F114" s="19" t="n"/>
    </row>
    <row r="115">
      <c r="A115" s="20" t="n"/>
      <c r="B115" s="19" t="n"/>
      <c r="C115" s="19" t="n"/>
      <c r="D115" s="16" t="n"/>
      <c r="E115" s="19" t="n"/>
      <c r="F115" s="19" t="n"/>
    </row>
    <row r="116">
      <c r="A116" s="20" t="n"/>
      <c r="B116" s="19" t="n"/>
      <c r="C116" s="19" t="n"/>
      <c r="D116" s="16" t="n"/>
      <c r="E116" s="19" t="n"/>
      <c r="F116" s="19" t="n"/>
    </row>
    <row r="117">
      <c r="A117" s="20" t="n"/>
      <c r="B117" s="19" t="n"/>
      <c r="C117" s="19" t="n"/>
      <c r="D117" s="16" t="n"/>
      <c r="E117" s="19" t="n"/>
      <c r="F117" s="19" t="n"/>
    </row>
    <row r="118">
      <c r="A118" s="20" t="n"/>
      <c r="B118" s="19" t="n"/>
      <c r="C118" s="19" t="n"/>
      <c r="D118" s="16" t="n"/>
      <c r="E118" s="19" t="n"/>
      <c r="F118" s="19" t="n"/>
    </row>
    <row r="119">
      <c r="A119" s="20" t="n"/>
      <c r="B119" s="19" t="n"/>
      <c r="C119" s="19" t="n"/>
      <c r="D119" s="16" t="n"/>
      <c r="E119" s="19" t="n"/>
      <c r="F119" s="19" t="n"/>
    </row>
    <row r="120">
      <c r="A120" s="20" t="n"/>
      <c r="B120" s="19" t="n"/>
      <c r="C120" s="19" t="n"/>
      <c r="D120" s="16" t="n"/>
      <c r="E120" s="19" t="n"/>
      <c r="F120" s="19" t="n"/>
    </row>
    <row r="121">
      <c r="A121" s="20" t="n"/>
      <c r="B121" s="19" t="n"/>
      <c r="C121" s="19" t="n"/>
      <c r="D121" s="16" t="n"/>
      <c r="E121" s="19" t="n"/>
      <c r="F121" s="19" t="n"/>
    </row>
    <row r="122">
      <c r="A122" s="20" t="n"/>
      <c r="B122" s="19" t="n"/>
      <c r="C122" s="19" t="n"/>
      <c r="D122" s="16" t="n"/>
      <c r="E122" s="19" t="n"/>
      <c r="F122" s="19" t="n"/>
    </row>
    <row r="123">
      <c r="A123" s="20" t="n"/>
      <c r="B123" s="19" t="n"/>
      <c r="C123" s="19" t="n"/>
      <c r="D123" s="16" t="n"/>
      <c r="E123" s="19" t="n"/>
      <c r="F123" s="19" t="n"/>
    </row>
    <row r="124">
      <c r="A124" s="20" t="n"/>
      <c r="B124" s="19" t="n"/>
      <c r="C124" s="19" t="n"/>
      <c r="D124" s="16" t="n"/>
      <c r="E124" s="19" t="n"/>
      <c r="F124" s="19" t="n"/>
    </row>
    <row r="125">
      <c r="A125" s="20" t="n"/>
      <c r="B125" s="19" t="n"/>
      <c r="C125" s="19" t="n"/>
      <c r="D125" s="16" t="n"/>
      <c r="E125" s="19" t="n"/>
      <c r="F125" s="19" t="n"/>
    </row>
    <row r="126">
      <c r="A126" s="20" t="n"/>
      <c r="B126" s="19" t="n"/>
      <c r="C126" s="19" t="n"/>
      <c r="D126" s="16" t="n"/>
      <c r="E126" s="19" t="n"/>
      <c r="F126" s="19" t="n"/>
    </row>
    <row r="127">
      <c r="A127" s="20" t="n"/>
      <c r="B127" s="19" t="n"/>
      <c r="C127" s="19" t="n"/>
      <c r="D127" s="16" t="n"/>
      <c r="E127" s="19" t="n"/>
      <c r="F127" s="19" t="n"/>
    </row>
    <row r="128">
      <c r="A128" s="20" t="n"/>
      <c r="B128" s="19" t="n"/>
      <c r="C128" s="19" t="n"/>
      <c r="D128" s="16" t="n"/>
      <c r="E128" s="19" t="n"/>
      <c r="F128" s="19" t="n"/>
    </row>
    <row r="129">
      <c r="A129" s="20" t="n"/>
      <c r="B129" s="19" t="n"/>
      <c r="C129" s="19" t="n"/>
      <c r="D129" s="16" t="n"/>
      <c r="E129" s="19" t="n"/>
      <c r="F129" s="19" t="n"/>
    </row>
    <row r="130">
      <c r="A130" s="20" t="n"/>
      <c r="B130" s="19" t="n"/>
      <c r="C130" s="19" t="n"/>
      <c r="D130" s="16" t="n"/>
      <c r="E130" s="19" t="n"/>
      <c r="F130" s="19" t="n"/>
    </row>
    <row r="131">
      <c r="A131" s="20" t="n"/>
      <c r="B131" s="19" t="n"/>
      <c r="C131" s="19" t="n"/>
      <c r="D131" s="16" t="n"/>
      <c r="E131" s="19" t="n"/>
      <c r="F131" s="19" t="n"/>
    </row>
    <row r="132">
      <c r="A132" s="20" t="n"/>
      <c r="B132" s="19" t="n"/>
      <c r="C132" s="19" t="n"/>
      <c r="D132" s="16" t="n"/>
      <c r="E132" s="19" t="n"/>
      <c r="F132" s="19" t="n"/>
    </row>
    <row r="133">
      <c r="A133" s="20" t="n"/>
      <c r="B133" s="19" t="n"/>
      <c r="C133" s="19" t="n"/>
      <c r="D133" s="16" t="n"/>
      <c r="E133" s="19" t="n"/>
      <c r="F133" s="19" t="n"/>
    </row>
    <row r="134">
      <c r="A134" s="20" t="n"/>
      <c r="B134" s="19" t="n"/>
      <c r="C134" s="19" t="n"/>
      <c r="D134" s="16" t="n"/>
      <c r="E134" s="19" t="n"/>
      <c r="F134" s="19" t="n"/>
    </row>
    <row r="135">
      <c r="A135" s="20" t="n"/>
      <c r="B135" s="19" t="n"/>
      <c r="C135" s="19" t="n"/>
      <c r="D135" s="16" t="n"/>
      <c r="E135" s="19" t="n"/>
      <c r="F135" s="19" t="n"/>
    </row>
    <row r="136">
      <c r="A136" s="20" t="n"/>
      <c r="B136" s="19" t="n"/>
      <c r="C136" s="19" t="n"/>
      <c r="D136" s="16" t="n"/>
      <c r="E136" s="19" t="n"/>
      <c r="F136" s="19" t="n"/>
    </row>
    <row r="137">
      <c r="A137" s="20" t="n"/>
      <c r="B137" s="19" t="n"/>
      <c r="C137" s="19" t="n"/>
      <c r="D137" s="16" t="n"/>
      <c r="E137" s="19" t="n"/>
      <c r="F137" s="19" t="n"/>
    </row>
    <row r="138">
      <c r="A138" s="20" t="n"/>
      <c r="B138" s="19" t="n"/>
      <c r="C138" s="19" t="n"/>
      <c r="D138" s="16" t="n"/>
      <c r="E138" s="19" t="n"/>
      <c r="F138" s="19" t="n"/>
    </row>
    <row r="139">
      <c r="A139" s="20" t="n"/>
      <c r="B139" s="19" t="n"/>
      <c r="C139" s="19" t="n"/>
      <c r="D139" s="16" t="n"/>
      <c r="E139" s="19" t="n"/>
      <c r="F139" s="19" t="n"/>
    </row>
    <row r="140">
      <c r="A140" s="20" t="n"/>
      <c r="B140" s="19" t="n"/>
      <c r="C140" s="19" t="n"/>
      <c r="D140" s="16" t="n"/>
      <c r="E140" s="19" t="n"/>
      <c r="F140" s="19" t="n"/>
    </row>
    <row r="141">
      <c r="A141" s="20" t="n"/>
      <c r="B141" s="19" t="n"/>
      <c r="C141" s="19" t="n"/>
      <c r="D141" s="16" t="n"/>
      <c r="E141" s="19" t="n"/>
      <c r="F141" s="19" t="n"/>
    </row>
    <row r="142">
      <c r="A142" s="20" t="n"/>
      <c r="B142" s="19" t="n"/>
      <c r="C142" s="19" t="n"/>
      <c r="D142" s="16" t="n"/>
      <c r="E142" s="19" t="n"/>
      <c r="F142" s="19" t="n"/>
    </row>
    <row r="143">
      <c r="A143" s="20" t="n"/>
      <c r="B143" s="19" t="n"/>
      <c r="C143" s="19" t="n"/>
      <c r="D143" s="16" t="n"/>
      <c r="E143" s="19" t="n"/>
      <c r="F143" s="19" t="n"/>
    </row>
    <row r="144">
      <c r="A144" s="20" t="n"/>
      <c r="B144" s="19" t="n"/>
      <c r="C144" s="19" t="n"/>
      <c r="D144" s="16" t="n"/>
      <c r="E144" s="19" t="n"/>
      <c r="F144" s="19" t="n"/>
    </row>
    <row r="145">
      <c r="A145" s="20" t="n"/>
      <c r="B145" s="19" t="n"/>
      <c r="C145" s="19" t="n"/>
      <c r="D145" s="16" t="n"/>
      <c r="E145" s="19" t="n"/>
      <c r="F145" s="19" t="n"/>
    </row>
    <row r="146">
      <c r="A146" s="20" t="n"/>
      <c r="B146" s="19" t="n"/>
      <c r="C146" s="19" t="n"/>
      <c r="D146" s="16" t="n"/>
      <c r="E146" s="19" t="n"/>
      <c r="F146" s="19" t="n"/>
    </row>
    <row r="147">
      <c r="A147" s="20" t="n"/>
      <c r="B147" s="19" t="n"/>
      <c r="C147" s="19" t="n"/>
      <c r="D147" s="16" t="n"/>
      <c r="E147" s="19" t="n"/>
      <c r="F147" s="19" t="n"/>
    </row>
    <row r="148">
      <c r="A148" s="20" t="n"/>
      <c r="B148" s="19" t="n"/>
      <c r="C148" s="19" t="n"/>
      <c r="D148" s="16" t="n"/>
      <c r="E148" s="19" t="n"/>
      <c r="F148" s="19" t="n"/>
    </row>
    <row r="149">
      <c r="A149" s="20" t="n"/>
      <c r="B149" s="19" t="n"/>
      <c r="C149" s="19" t="n"/>
      <c r="D149" s="16" t="n"/>
      <c r="E149" s="19" t="n"/>
      <c r="F149" s="19" t="n"/>
    </row>
    <row r="150">
      <c r="A150" s="20" t="n"/>
      <c r="B150" s="19" t="n"/>
      <c r="C150" s="19" t="n"/>
      <c r="D150" s="16" t="n"/>
      <c r="E150" s="19" t="n"/>
      <c r="F150" s="19" t="n"/>
    </row>
    <row r="151">
      <c r="A151" s="20" t="n"/>
      <c r="B151" s="19" t="n"/>
      <c r="C151" s="19" t="n"/>
      <c r="D151" s="16" t="n"/>
      <c r="E151" s="19" t="n"/>
      <c r="F151" s="19" t="n"/>
    </row>
    <row r="152">
      <c r="A152" s="20" t="n"/>
      <c r="B152" s="19" t="n"/>
      <c r="C152" s="19" t="n"/>
      <c r="D152" s="16" t="n"/>
      <c r="E152" s="19" t="n"/>
      <c r="F152" s="19" t="n"/>
    </row>
    <row r="153">
      <c r="A153" s="20" t="n"/>
      <c r="B153" s="19" t="n"/>
      <c r="C153" s="19" t="n"/>
      <c r="D153" s="16" t="n"/>
      <c r="E153" s="19" t="n"/>
      <c r="F153" s="19" t="n"/>
    </row>
    <row r="154">
      <c r="A154" s="20" t="n"/>
      <c r="B154" s="19" t="n"/>
      <c r="C154" s="19" t="n"/>
      <c r="D154" s="16" t="n"/>
      <c r="E154" s="19" t="n"/>
      <c r="F154" s="19" t="n"/>
    </row>
    <row r="155">
      <c r="A155" s="20" t="n"/>
      <c r="B155" s="19" t="n"/>
      <c r="C155" s="19" t="n"/>
      <c r="D155" s="16" t="n"/>
      <c r="E155" s="19" t="n"/>
      <c r="F155" s="19" t="n"/>
    </row>
    <row r="156">
      <c r="A156" s="20" t="n"/>
      <c r="B156" s="19" t="n"/>
      <c r="C156" s="19" t="n"/>
      <c r="D156" s="16" t="n"/>
      <c r="E156" s="19" t="n"/>
      <c r="F156" s="19" t="n"/>
    </row>
    <row r="157">
      <c r="A157" s="20" t="n"/>
      <c r="B157" s="19" t="n"/>
      <c r="C157" s="19" t="n"/>
      <c r="D157" s="16" t="n"/>
      <c r="E157" s="19" t="n"/>
      <c r="F157" s="19" t="n"/>
    </row>
    <row r="158">
      <c r="A158" s="20" t="n"/>
      <c r="B158" s="19" t="n"/>
      <c r="C158" s="19" t="n"/>
      <c r="D158" s="16" t="n"/>
      <c r="E158" s="19" t="n"/>
      <c r="F158" s="19" t="n"/>
    </row>
    <row r="159">
      <c r="A159" s="20" t="n"/>
      <c r="B159" s="19" t="n"/>
      <c r="C159" s="19" t="n"/>
      <c r="D159" s="16" t="n"/>
      <c r="E159" s="19" t="n"/>
      <c r="F159" s="19" t="n"/>
    </row>
    <row r="160">
      <c r="A160" s="20" t="n"/>
      <c r="B160" s="19" t="n"/>
      <c r="C160" s="19" t="n"/>
      <c r="D160" s="16" t="n"/>
      <c r="E160" s="19" t="n"/>
      <c r="F160" s="19" t="n"/>
    </row>
    <row r="161">
      <c r="A161" s="20" t="n"/>
      <c r="B161" s="19" t="n"/>
      <c r="C161" s="19" t="n"/>
      <c r="D161" s="16" t="n"/>
      <c r="E161" s="19" t="n"/>
      <c r="F161" s="19" t="n"/>
    </row>
    <row r="162">
      <c r="A162" s="20" t="n"/>
      <c r="B162" s="19" t="n"/>
      <c r="C162" s="19" t="n"/>
      <c r="D162" s="16" t="n"/>
      <c r="E162" s="19" t="n"/>
      <c r="F162" s="19" t="n"/>
    </row>
    <row r="163">
      <c r="A163" s="20" t="n"/>
      <c r="B163" s="19" t="n"/>
      <c r="C163" s="19" t="n"/>
      <c r="D163" s="16" t="n"/>
      <c r="E163" s="19" t="n"/>
      <c r="F163" s="19" t="n"/>
    </row>
    <row r="164">
      <c r="A164" s="20" t="n"/>
      <c r="B164" s="19" t="n"/>
      <c r="C164" s="19" t="n"/>
      <c r="D164" s="16" t="n"/>
      <c r="E164" s="19" t="n"/>
      <c r="F164" s="19" t="n"/>
    </row>
    <row r="165">
      <c r="A165" s="20" t="n"/>
      <c r="B165" s="19" t="n"/>
      <c r="C165" s="19" t="n"/>
      <c r="D165" s="16" t="n"/>
      <c r="E165" s="19" t="n"/>
      <c r="F165" s="19" t="n"/>
    </row>
    <row r="166">
      <c r="A166" s="20" t="n"/>
      <c r="B166" s="19" t="n"/>
      <c r="C166" s="19" t="n"/>
      <c r="D166" s="16" t="n"/>
      <c r="E166" s="19" t="n"/>
      <c r="F166" s="19" t="n"/>
    </row>
    <row r="167">
      <c r="A167" s="20" t="n"/>
      <c r="B167" s="19" t="n"/>
      <c r="C167" s="19" t="n"/>
      <c r="D167" s="16" t="n"/>
      <c r="E167" s="19" t="n"/>
      <c r="F167" s="19" t="n"/>
    </row>
    <row r="168">
      <c r="A168" s="20" t="n"/>
      <c r="B168" s="19" t="n"/>
      <c r="C168" s="19" t="n"/>
      <c r="D168" s="16" t="n"/>
      <c r="E168" s="19" t="n"/>
      <c r="F168" s="19" t="n"/>
    </row>
    <row r="169">
      <c r="A169" s="20" t="n"/>
      <c r="B169" s="19" t="n"/>
      <c r="C169" s="19" t="n"/>
      <c r="D169" s="16" t="n"/>
      <c r="E169" s="19" t="n"/>
      <c r="F169" s="19" t="n"/>
    </row>
    <row r="170">
      <c r="A170" s="20" t="n"/>
      <c r="B170" s="19" t="n"/>
      <c r="C170" s="19" t="n"/>
      <c r="D170" s="16" t="n"/>
      <c r="E170" s="19" t="n"/>
      <c r="F170" s="19" t="n"/>
    </row>
    <row r="171">
      <c r="A171" s="20" t="n"/>
      <c r="B171" s="19" t="n"/>
      <c r="C171" s="19" t="n"/>
      <c r="D171" s="16" t="n"/>
      <c r="E171" s="19" t="n"/>
      <c r="F171" s="19" t="n"/>
    </row>
    <row r="172">
      <c r="A172" s="20" t="n"/>
      <c r="B172" s="19" t="n"/>
      <c r="C172" s="19" t="n"/>
      <c r="D172" s="16" t="n"/>
      <c r="E172" s="19" t="n"/>
      <c r="F172" s="19" t="n"/>
    </row>
    <row r="173">
      <c r="A173" s="20" t="n"/>
      <c r="B173" s="19" t="n"/>
      <c r="C173" s="19" t="n"/>
      <c r="D173" s="16" t="n"/>
      <c r="E173" s="19" t="n"/>
      <c r="F173" s="19" t="n"/>
    </row>
    <row r="174">
      <c r="A174" s="20" t="n"/>
      <c r="B174" s="19" t="n"/>
      <c r="C174" s="19" t="n"/>
      <c r="D174" s="16" t="n"/>
      <c r="E174" s="19" t="n"/>
      <c r="F174" s="19" t="n"/>
    </row>
    <row r="175">
      <c r="A175" s="20" t="n"/>
      <c r="B175" s="19" t="n"/>
      <c r="C175" s="19" t="n"/>
      <c r="D175" s="16" t="n"/>
      <c r="E175" s="19" t="n"/>
      <c r="F175" s="19" t="n"/>
    </row>
    <row r="176">
      <c r="A176" s="20" t="n"/>
      <c r="B176" s="19" t="n"/>
      <c r="C176" s="19" t="n"/>
      <c r="D176" s="16" t="n"/>
      <c r="E176" s="19" t="n"/>
      <c r="F176" s="19" t="n"/>
    </row>
    <row r="177">
      <c r="A177" s="20" t="n"/>
      <c r="B177" s="19" t="n"/>
      <c r="C177" s="19" t="n"/>
      <c r="D177" s="16" t="n"/>
      <c r="E177" s="19" t="n"/>
      <c r="F177" s="19" t="n"/>
    </row>
    <row r="178">
      <c r="A178" s="20" t="n"/>
      <c r="B178" s="19" t="n"/>
      <c r="C178" s="19" t="n"/>
      <c r="D178" s="16" t="n"/>
      <c r="E178" s="19" t="n"/>
      <c r="F178" s="19" t="n"/>
    </row>
    <row r="179">
      <c r="A179" s="20" t="n"/>
      <c r="B179" s="19" t="n"/>
      <c r="C179" s="19" t="n"/>
      <c r="D179" s="16" t="n"/>
      <c r="E179" s="19" t="n"/>
      <c r="F179" s="19" t="n"/>
    </row>
    <row r="180">
      <c r="A180" s="20" t="n"/>
      <c r="B180" s="19" t="n"/>
      <c r="C180" s="19" t="n"/>
      <c r="D180" s="16" t="n"/>
      <c r="E180" s="19" t="n"/>
      <c r="F180" s="19" t="n"/>
    </row>
    <row r="181">
      <c r="A181" s="20" t="n"/>
      <c r="B181" s="19" t="n"/>
      <c r="C181" s="19" t="n"/>
      <c r="D181" s="16" t="n"/>
      <c r="E181" s="19" t="n"/>
      <c r="F181" s="19" t="n"/>
    </row>
    <row r="182">
      <c r="A182" s="20" t="n"/>
      <c r="B182" s="19" t="n"/>
      <c r="C182" s="19" t="n"/>
      <c r="D182" s="16" t="n"/>
      <c r="E182" s="19" t="n"/>
      <c r="F182" s="19" t="n"/>
    </row>
    <row r="183">
      <c r="A183" s="20" t="n"/>
      <c r="B183" s="19" t="n"/>
      <c r="C183" s="19" t="n"/>
      <c r="D183" s="16" t="n"/>
      <c r="E183" s="19" t="n"/>
      <c r="F183" s="19" t="n"/>
    </row>
    <row r="184">
      <c r="A184" s="20" t="n"/>
      <c r="B184" s="19" t="n"/>
      <c r="C184" s="19" t="n"/>
      <c r="D184" s="16" t="n"/>
      <c r="E184" s="19" t="n"/>
      <c r="F184" s="19" t="n"/>
    </row>
    <row r="185">
      <c r="A185" s="20" t="n"/>
      <c r="B185" s="19" t="n"/>
      <c r="C185" s="19" t="n"/>
      <c r="D185" s="16" t="n"/>
      <c r="E185" s="19" t="n"/>
      <c r="F185" s="19" t="n"/>
    </row>
    <row r="186">
      <c r="A186" s="20" t="n"/>
      <c r="B186" s="19" t="n"/>
      <c r="C186" s="19" t="n"/>
      <c r="D186" s="16" t="n"/>
      <c r="E186" s="19" t="n"/>
      <c r="F186" s="19" t="n"/>
    </row>
    <row r="187">
      <c r="A187" s="20" t="n"/>
      <c r="B187" s="19" t="n"/>
      <c r="C187" s="19" t="n"/>
      <c r="D187" s="16" t="n"/>
      <c r="E187" s="19" t="n"/>
      <c r="F187" s="19" t="n"/>
    </row>
    <row r="188">
      <c r="A188" s="20" t="n"/>
      <c r="B188" s="19" t="n"/>
      <c r="C188" s="19" t="n"/>
      <c r="D188" s="16" t="n"/>
      <c r="E188" s="19" t="n"/>
      <c r="F188" s="19" t="n"/>
    </row>
    <row r="189">
      <c r="A189" s="20" t="n"/>
      <c r="B189" s="19" t="n"/>
      <c r="C189" s="19" t="n"/>
      <c r="D189" s="16" t="n"/>
      <c r="E189" s="19" t="n"/>
      <c r="F189" s="19" t="n"/>
    </row>
    <row r="190">
      <c r="A190" s="20" t="n"/>
      <c r="B190" s="19" t="n"/>
      <c r="C190" s="19" t="n"/>
      <c r="D190" s="16" t="n"/>
      <c r="E190" s="19" t="n"/>
      <c r="F190" s="19" t="n"/>
    </row>
    <row r="191">
      <c r="A191" s="20" t="n"/>
      <c r="B191" s="19" t="n"/>
      <c r="C191" s="19" t="n"/>
      <c r="D191" s="16" t="n"/>
      <c r="E191" s="19" t="n"/>
      <c r="F191" s="19" t="n"/>
    </row>
    <row r="192">
      <c r="A192" s="20" t="n"/>
      <c r="B192" s="19" t="n"/>
      <c r="C192" s="19" t="n"/>
      <c r="D192" s="16" t="n"/>
      <c r="E192" s="19" t="n"/>
      <c r="F192" s="19" t="n"/>
    </row>
    <row r="193">
      <c r="A193" s="20" t="n"/>
      <c r="B193" s="19" t="n"/>
      <c r="C193" s="19" t="n"/>
      <c r="D193" s="16" t="n"/>
      <c r="E193" s="19" t="n"/>
      <c r="F193" s="19" t="n"/>
    </row>
    <row r="194">
      <c r="A194" s="20" t="n"/>
      <c r="B194" s="19" t="n"/>
      <c r="C194" s="19" t="n"/>
      <c r="D194" s="16" t="n"/>
      <c r="E194" s="19" t="n"/>
      <c r="F194" s="19" t="n"/>
    </row>
    <row r="195">
      <c r="A195" s="20" t="n"/>
      <c r="B195" s="19" t="n"/>
      <c r="C195" s="19" t="n"/>
      <c r="D195" s="16" t="n"/>
      <c r="E195" s="19" t="n"/>
      <c r="F195" s="19" t="n"/>
    </row>
    <row r="196">
      <c r="A196" s="20" t="n"/>
      <c r="B196" s="19" t="n"/>
      <c r="C196" s="19" t="n"/>
      <c r="D196" s="16" t="n"/>
      <c r="E196" s="19" t="n"/>
      <c r="F196" s="19" t="n"/>
    </row>
    <row r="197">
      <c r="A197" s="20" t="n"/>
      <c r="B197" s="19" t="n"/>
      <c r="C197" s="19" t="n"/>
      <c r="D197" s="16" t="n"/>
      <c r="E197" s="19" t="n"/>
      <c r="F197" s="19" t="n"/>
    </row>
    <row r="198">
      <c r="A198" s="20" t="n"/>
      <c r="B198" s="19" t="n"/>
      <c r="C198" s="19" t="n"/>
      <c r="D198" s="16" t="n"/>
      <c r="E198" s="19" t="n"/>
      <c r="F198" s="19" t="n"/>
    </row>
    <row r="199">
      <c r="A199" s="20" t="n"/>
      <c r="B199" s="19" t="n"/>
      <c r="C199" s="19" t="n"/>
      <c r="D199" s="16" t="n"/>
      <c r="E199" s="19" t="n"/>
      <c r="F199" s="19" t="n"/>
    </row>
    <row r="200">
      <c r="A200" s="20" t="n"/>
      <c r="B200" s="19" t="n"/>
      <c r="C200" s="19" t="n"/>
      <c r="D200" s="16" t="n"/>
      <c r="E200" s="19" t="n"/>
      <c r="F200" s="19" t="n"/>
    </row>
    <row r="201">
      <c r="A201" s="20" t="n"/>
      <c r="B201" s="19" t="n"/>
      <c r="C201" s="19" t="n"/>
      <c r="D201" s="16" t="n"/>
      <c r="E201" s="19" t="n"/>
      <c r="F201" s="19" t="n"/>
    </row>
    <row r="202">
      <c r="A202" s="20" t="n"/>
      <c r="B202" s="19" t="n"/>
      <c r="C202" s="19" t="n"/>
      <c r="D202" s="16" t="n"/>
      <c r="E202" s="19" t="n"/>
      <c r="F202" s="19" t="n"/>
    </row>
    <row r="203">
      <c r="A203" s="20" t="n"/>
      <c r="B203" s="19" t="n"/>
      <c r="C203" s="19" t="n"/>
      <c r="D203" s="16" t="n"/>
      <c r="E203" s="19" t="n"/>
      <c r="F203" s="19" t="n"/>
    </row>
    <row r="204">
      <c r="A204" s="20" t="n"/>
      <c r="B204" s="19" t="n"/>
      <c r="C204" s="19" t="n"/>
      <c r="D204" s="16" t="n"/>
      <c r="E204" s="19" t="n"/>
      <c r="F204" s="19" t="n"/>
    </row>
    <row r="205">
      <c r="A205" s="20" t="n"/>
      <c r="B205" s="19" t="n"/>
      <c r="C205" s="19" t="n"/>
      <c r="D205" s="16" t="n"/>
      <c r="E205" s="19" t="n"/>
      <c r="F205" s="19" t="n"/>
    </row>
    <row r="206">
      <c r="A206" s="20" t="n"/>
      <c r="B206" s="19" t="n"/>
      <c r="C206" s="19" t="n"/>
      <c r="D206" s="16" t="n"/>
      <c r="E206" s="19" t="n"/>
      <c r="F206" s="19" t="n"/>
    </row>
    <row r="207">
      <c r="A207" s="20" t="n"/>
      <c r="B207" s="19" t="n"/>
      <c r="C207" s="19" t="n"/>
      <c r="D207" s="16" t="n"/>
      <c r="E207" s="19" t="n"/>
      <c r="F207" s="19" t="n"/>
    </row>
    <row r="208">
      <c r="A208" s="20" t="n"/>
      <c r="B208" s="19" t="n"/>
      <c r="C208" s="19" t="n"/>
      <c r="D208" s="16" t="n"/>
      <c r="E208" s="19" t="n"/>
      <c r="F208" s="19" t="n"/>
    </row>
    <row r="209">
      <c r="A209" s="20" t="n"/>
      <c r="B209" s="19" t="n"/>
      <c r="C209" s="19" t="n"/>
      <c r="D209" s="16" t="n"/>
      <c r="E209" s="19" t="n"/>
      <c r="F209" s="19" t="n"/>
    </row>
    <row r="210">
      <c r="A210" s="20" t="n"/>
      <c r="B210" s="19" t="n"/>
      <c r="C210" s="19" t="n"/>
      <c r="D210" s="16" t="n"/>
      <c r="E210" s="19" t="n"/>
      <c r="F210" s="19" t="n"/>
    </row>
    <row r="211">
      <c r="A211" s="20" t="n"/>
      <c r="B211" s="19" t="n"/>
      <c r="C211" s="19" t="n"/>
      <c r="D211" s="16" t="n"/>
      <c r="E211" s="19" t="n"/>
      <c r="F211" s="19" t="n"/>
    </row>
    <row r="212">
      <c r="A212" s="20" t="n"/>
      <c r="B212" s="19" t="n"/>
      <c r="C212" s="19" t="n"/>
      <c r="D212" s="16" t="n"/>
      <c r="E212" s="19" t="n"/>
      <c r="F212" s="19" t="n"/>
    </row>
    <row r="213">
      <c r="A213" s="20" t="n"/>
      <c r="B213" s="19" t="n"/>
      <c r="C213" s="19" t="n"/>
      <c r="D213" s="16" t="n"/>
      <c r="E213" s="19" t="n"/>
      <c r="F213" s="19" t="n"/>
    </row>
    <row r="214">
      <c r="A214" s="20" t="n"/>
      <c r="B214" s="19" t="n"/>
      <c r="C214" s="19" t="n"/>
      <c r="D214" s="16" t="n"/>
      <c r="E214" s="19" t="n"/>
      <c r="F214" s="19" t="n"/>
    </row>
    <row r="215">
      <c r="A215" s="20" t="n"/>
      <c r="B215" s="19" t="n"/>
      <c r="C215" s="19" t="n"/>
      <c r="D215" s="16" t="n"/>
      <c r="E215" s="19" t="n"/>
      <c r="F215" s="19" t="n"/>
    </row>
    <row r="216">
      <c r="A216" s="20" t="n"/>
      <c r="B216" s="19" t="n"/>
      <c r="C216" s="19" t="n"/>
      <c r="D216" s="16" t="n"/>
      <c r="E216" s="19" t="n"/>
      <c r="F216" s="19" t="n"/>
    </row>
    <row r="217">
      <c r="A217" s="20" t="n"/>
      <c r="B217" s="19" t="n"/>
      <c r="C217" s="19" t="n"/>
      <c r="D217" s="16" t="n"/>
      <c r="E217" s="19" t="n"/>
      <c r="F217" s="19" t="n"/>
    </row>
    <row r="218">
      <c r="A218" s="20" t="n"/>
      <c r="B218" s="19" t="n"/>
      <c r="C218" s="19" t="n"/>
      <c r="D218" s="16" t="n"/>
      <c r="E218" s="19" t="n"/>
      <c r="F218" s="19" t="n"/>
    </row>
    <row r="219">
      <c r="A219" s="20" t="n"/>
      <c r="B219" s="19" t="n"/>
      <c r="C219" s="19" t="n"/>
      <c r="D219" s="16" t="n"/>
      <c r="E219" s="19" t="n"/>
      <c r="F219" s="19" t="n"/>
    </row>
    <row r="220">
      <c r="A220" s="20" t="n"/>
      <c r="B220" s="19" t="n"/>
      <c r="C220" s="19" t="n"/>
      <c r="D220" s="16" t="n"/>
      <c r="E220" s="19" t="n"/>
      <c r="F220" s="19" t="n"/>
    </row>
    <row r="221">
      <c r="A221" s="20" t="n"/>
      <c r="B221" s="19" t="n"/>
      <c r="C221" s="19" t="n"/>
      <c r="D221" s="16" t="n"/>
      <c r="E221" s="19" t="n"/>
      <c r="F221" s="19" t="n"/>
    </row>
    <row r="222">
      <c r="A222" s="20" t="n"/>
      <c r="B222" s="19" t="n"/>
      <c r="C222" s="19" t="n"/>
      <c r="D222" s="16" t="n"/>
      <c r="E222" s="19" t="n"/>
      <c r="F222" s="19" t="n"/>
    </row>
    <row r="223">
      <c r="A223" s="20" t="n"/>
      <c r="B223" s="19" t="n"/>
      <c r="C223" s="19" t="n"/>
      <c r="D223" s="16" t="n"/>
      <c r="E223" s="19" t="n"/>
      <c r="F223" s="19" t="n"/>
    </row>
    <row r="224">
      <c r="A224" s="20" t="n"/>
      <c r="B224" s="19" t="n"/>
      <c r="C224" s="19" t="n"/>
      <c r="D224" s="16" t="n"/>
      <c r="E224" s="19" t="n"/>
      <c r="F224" s="19" t="n"/>
    </row>
    <row r="225">
      <c r="A225" s="20" t="n"/>
      <c r="B225" s="19" t="n"/>
      <c r="C225" s="19" t="n"/>
      <c r="D225" s="16" t="n"/>
      <c r="E225" s="19" t="n"/>
      <c r="F225" s="19" t="n"/>
    </row>
    <row r="226">
      <c r="A226" s="20" t="n"/>
      <c r="B226" s="19" t="n"/>
      <c r="C226" s="19" t="n"/>
      <c r="D226" s="16" t="n"/>
      <c r="E226" s="19" t="n"/>
      <c r="F226" s="19" t="n"/>
    </row>
    <row r="227">
      <c r="A227" s="20" t="n"/>
      <c r="B227" s="19" t="n"/>
      <c r="C227" s="19" t="n"/>
      <c r="D227" s="16" t="n"/>
      <c r="E227" s="19" t="n"/>
      <c r="F227" s="19" t="n"/>
    </row>
    <row r="228">
      <c r="A228" s="20" t="n"/>
      <c r="B228" s="19" t="n"/>
      <c r="C228" s="19" t="n"/>
      <c r="D228" s="16" t="n"/>
      <c r="E228" s="19" t="n"/>
      <c r="F228" s="19" t="n"/>
    </row>
    <row r="229">
      <c r="A229" s="20" t="n"/>
      <c r="B229" s="19" t="n"/>
      <c r="C229" s="19" t="n"/>
      <c r="D229" s="16" t="n"/>
      <c r="E229" s="19" t="n"/>
      <c r="F229" s="19" t="n"/>
    </row>
    <row r="230">
      <c r="A230" s="20" t="n"/>
      <c r="B230" s="19" t="n"/>
      <c r="C230" s="19" t="n"/>
      <c r="D230" s="16" t="n"/>
      <c r="E230" s="19" t="n"/>
      <c r="F230" s="19" t="n"/>
    </row>
    <row r="231">
      <c r="A231" s="20" t="n"/>
      <c r="B231" s="19" t="n"/>
      <c r="C231" s="19" t="n"/>
      <c r="D231" s="16" t="n"/>
      <c r="E231" s="19" t="n"/>
      <c r="F231" s="19" t="n"/>
    </row>
    <row r="232">
      <c r="A232" s="20" t="n"/>
      <c r="B232" s="19" t="n"/>
      <c r="C232" s="19" t="n"/>
      <c r="D232" s="16" t="n"/>
      <c r="E232" s="19" t="n"/>
      <c r="F232" s="19" t="n"/>
    </row>
    <row r="233">
      <c r="A233" s="20" t="n"/>
      <c r="B233" s="19" t="n"/>
      <c r="C233" s="19" t="n"/>
      <c r="D233" s="16" t="n"/>
      <c r="E233" s="19" t="n"/>
      <c r="F233" s="19" t="n"/>
    </row>
    <row r="234">
      <c r="A234" s="20" t="n"/>
      <c r="B234" s="19" t="n"/>
      <c r="C234" s="19" t="n"/>
      <c r="D234" s="16" t="n"/>
      <c r="E234" s="19" t="n"/>
      <c r="F234" s="19" t="n"/>
    </row>
    <row r="235">
      <c r="A235" s="20" t="n"/>
      <c r="B235" s="19" t="n"/>
      <c r="C235" s="19" t="n"/>
      <c r="D235" s="16" t="n"/>
      <c r="E235" s="19" t="n"/>
      <c r="F235" s="19" t="n"/>
    </row>
    <row r="236">
      <c r="A236" s="20" t="n"/>
      <c r="B236" s="19" t="n"/>
      <c r="C236" s="19" t="n"/>
      <c r="D236" s="16" t="n"/>
      <c r="E236" s="19" t="n"/>
      <c r="F236" s="19" t="n"/>
    </row>
    <row r="237">
      <c r="A237" s="20" t="n"/>
      <c r="B237" s="19" t="n"/>
      <c r="C237" s="19" t="n"/>
      <c r="D237" s="16" t="n"/>
      <c r="E237" s="19" t="n"/>
      <c r="F237" s="19" t="n"/>
    </row>
    <row r="238">
      <c r="A238" s="20" t="n"/>
      <c r="B238" s="19" t="n"/>
      <c r="C238" s="19" t="n"/>
      <c r="D238" s="16" t="n"/>
      <c r="E238" s="19" t="n"/>
      <c r="F238" s="19" t="n"/>
    </row>
    <row r="239">
      <c r="A239" s="20" t="n"/>
      <c r="B239" s="19" t="n"/>
      <c r="C239" s="19" t="n"/>
      <c r="D239" s="16" t="n"/>
      <c r="E239" s="19" t="n"/>
      <c r="F239" s="19" t="n"/>
    </row>
    <row r="240">
      <c r="A240" s="20" t="n"/>
      <c r="B240" s="19" t="n"/>
      <c r="C240" s="19" t="n"/>
      <c r="D240" s="16" t="n"/>
      <c r="E240" s="19" t="n"/>
      <c r="F240" s="19" t="n"/>
    </row>
    <row r="241">
      <c r="A241" s="20" t="n"/>
      <c r="B241" s="19" t="n"/>
      <c r="C241" s="19" t="n"/>
      <c r="D241" s="16" t="n"/>
      <c r="E241" s="19" t="n"/>
      <c r="F241" s="19" t="n"/>
    </row>
    <row r="242">
      <c r="A242" s="20" t="n"/>
      <c r="B242" s="19" t="n"/>
      <c r="C242" s="19" t="n"/>
      <c r="D242" s="16" t="n"/>
      <c r="E242" s="19" t="n"/>
      <c r="F242" s="19" t="n"/>
    </row>
    <row r="243">
      <c r="A243" s="20" t="n"/>
      <c r="B243" s="19" t="n"/>
      <c r="C243" s="19" t="n"/>
      <c r="D243" s="16" t="n"/>
      <c r="E243" s="19" t="n"/>
      <c r="F243" s="19" t="n"/>
    </row>
    <row r="244">
      <c r="A244" s="20" t="n"/>
      <c r="B244" s="19" t="n"/>
      <c r="C244" s="19" t="n"/>
      <c r="D244" s="16" t="n"/>
      <c r="E244" s="19" t="n"/>
      <c r="F244" s="19" t="n"/>
    </row>
    <row r="245">
      <c r="A245" s="20" t="n"/>
      <c r="B245" s="19" t="n"/>
      <c r="C245" s="19" t="n"/>
      <c r="D245" s="16" t="n"/>
      <c r="E245" s="19" t="n"/>
      <c r="F245" s="19" t="n"/>
    </row>
    <row r="246">
      <c r="A246" s="20" t="n"/>
      <c r="B246" s="19" t="n"/>
      <c r="C246" s="19" t="n"/>
      <c r="D246" s="16" t="n"/>
      <c r="E246" s="19" t="n"/>
      <c r="F246" s="19" t="n"/>
    </row>
    <row r="247">
      <c r="A247" s="20" t="n"/>
      <c r="B247" s="19" t="n"/>
      <c r="C247" s="19" t="n"/>
      <c r="D247" s="16" t="n"/>
      <c r="E247" s="19" t="n"/>
      <c r="F247" s="19" t="n"/>
    </row>
    <row r="248">
      <c r="A248" s="20" t="n"/>
      <c r="B248" s="19" t="n"/>
      <c r="C248" s="19" t="n"/>
      <c r="D248" s="16" t="n"/>
      <c r="E248" s="19" t="n"/>
      <c r="F248" s="19" t="n"/>
    </row>
    <row r="249">
      <c r="A249" s="20" t="n"/>
      <c r="B249" s="19" t="n"/>
      <c r="C249" s="19" t="n"/>
      <c r="D249" s="16" t="n"/>
      <c r="E249" s="19" t="n"/>
      <c r="F249" s="19" t="n"/>
    </row>
    <row r="250">
      <c r="A250" s="20" t="n"/>
      <c r="B250" s="19" t="n"/>
      <c r="C250" s="19" t="n"/>
      <c r="D250" s="16" t="n"/>
      <c r="E250" s="19" t="n"/>
      <c r="F250" s="19" t="n"/>
    </row>
    <row r="251">
      <c r="A251" s="20" t="n"/>
      <c r="B251" s="19" t="n"/>
      <c r="C251" s="19" t="n"/>
      <c r="D251" s="16" t="n"/>
      <c r="E251" s="19" t="n"/>
      <c r="F251" s="19" t="n"/>
    </row>
    <row r="252">
      <c r="A252" s="20" t="n"/>
      <c r="B252" s="19" t="n"/>
      <c r="C252" s="19" t="n"/>
      <c r="D252" s="16" t="n"/>
      <c r="E252" s="19" t="n"/>
      <c r="F252" s="19" t="n"/>
    </row>
    <row r="253">
      <c r="A253" s="20" t="n"/>
      <c r="B253" s="19" t="n"/>
      <c r="C253" s="19" t="n"/>
      <c r="D253" s="16" t="n"/>
      <c r="E253" s="19" t="n"/>
      <c r="F253" s="19" t="n"/>
    </row>
    <row r="254">
      <c r="A254" s="20" t="n"/>
      <c r="B254" s="19" t="n"/>
      <c r="C254" s="19" t="n"/>
      <c r="D254" s="16" t="n"/>
      <c r="E254" s="19" t="n"/>
      <c r="F254" s="19" t="n"/>
    </row>
    <row r="255">
      <c r="A255" s="20" t="n"/>
      <c r="B255" s="19" t="n"/>
      <c r="C255" s="19" t="n"/>
      <c r="D255" s="16" t="n"/>
      <c r="E255" s="19" t="n"/>
      <c r="F255" s="19" t="n"/>
    </row>
    <row r="256">
      <c r="A256" s="20" t="n"/>
      <c r="B256" s="19" t="n"/>
      <c r="C256" s="19" t="n"/>
      <c r="D256" s="16" t="n"/>
      <c r="E256" s="19" t="n"/>
      <c r="F256" s="19" t="n"/>
    </row>
    <row r="257">
      <c r="A257" s="20" t="n"/>
      <c r="B257" s="19" t="n"/>
      <c r="C257" s="19" t="n"/>
      <c r="D257" s="16" t="n"/>
      <c r="E257" s="19" t="n"/>
      <c r="F257" s="19" t="n"/>
    </row>
    <row r="258">
      <c r="A258" s="20" t="n"/>
      <c r="B258" s="19" t="n"/>
      <c r="C258" s="19" t="n"/>
      <c r="D258" s="16" t="n"/>
      <c r="E258" s="19" t="n"/>
      <c r="F258" s="19" t="n"/>
    </row>
    <row r="259">
      <c r="A259" s="20" t="n"/>
      <c r="B259" s="19" t="n"/>
      <c r="C259" s="19" t="n"/>
      <c r="D259" s="16" t="n"/>
      <c r="E259" s="19" t="n"/>
      <c r="F259" s="19" t="n"/>
    </row>
    <row r="260">
      <c r="A260" s="20" t="n"/>
      <c r="B260" s="19" t="n"/>
      <c r="C260" s="19" t="n"/>
      <c r="D260" s="16" t="n"/>
      <c r="E260" s="19" t="n"/>
      <c r="F260" s="19" t="n"/>
    </row>
    <row r="261">
      <c r="A261" s="20" t="n"/>
      <c r="B261" s="19" t="n"/>
      <c r="C261" s="19" t="n"/>
      <c r="D261" s="16" t="n"/>
      <c r="E261" s="19" t="n"/>
      <c r="F261" s="19" t="n"/>
    </row>
    <row r="262">
      <c r="A262" s="20" t="n"/>
      <c r="B262" s="19" t="n"/>
      <c r="C262" s="19" t="n"/>
      <c r="D262" s="16" t="n"/>
      <c r="E262" s="19" t="n"/>
      <c r="F262" s="19" t="n"/>
    </row>
    <row r="263">
      <c r="A263" s="20" t="n"/>
      <c r="B263" s="19" t="n"/>
      <c r="C263" s="19" t="n"/>
      <c r="D263" s="16" t="n"/>
      <c r="E263" s="19" t="n"/>
      <c r="F263" s="19" t="n"/>
    </row>
    <row r="264">
      <c r="A264" s="20" t="n"/>
      <c r="B264" s="19" t="n"/>
      <c r="C264" s="19" t="n"/>
      <c r="D264" s="16" t="n"/>
      <c r="E264" s="19" t="n"/>
      <c r="F264" s="19" t="n"/>
    </row>
    <row r="265">
      <c r="A265" s="20" t="n"/>
      <c r="B265" s="19" t="n"/>
      <c r="C265" s="19" t="n"/>
      <c r="D265" s="16" t="n"/>
      <c r="E265" s="19" t="n"/>
      <c r="F265" s="19" t="n"/>
    </row>
    <row r="266">
      <c r="A266" s="20" t="n"/>
      <c r="B266" s="19" t="n"/>
      <c r="C266" s="19" t="n"/>
      <c r="D266" s="16" t="n"/>
      <c r="E266" s="19" t="n"/>
      <c r="F266" s="19" t="n"/>
    </row>
    <row r="267">
      <c r="A267" s="20" t="n"/>
      <c r="B267" s="19" t="n"/>
      <c r="C267" s="19" t="n"/>
      <c r="D267" s="16" t="n"/>
      <c r="E267" s="19" t="n"/>
      <c r="F267" s="19" t="n"/>
    </row>
    <row r="268">
      <c r="A268" s="20" t="n"/>
      <c r="B268" s="19" t="n"/>
      <c r="C268" s="19" t="n"/>
      <c r="D268" s="16" t="n"/>
      <c r="E268" s="19" t="n"/>
      <c r="F268" s="19" t="n"/>
    </row>
    <row r="269">
      <c r="A269" s="20" t="n"/>
      <c r="B269" s="19" t="n"/>
      <c r="C269" s="19" t="n"/>
      <c r="D269" s="16" t="n"/>
      <c r="E269" s="19" t="n"/>
      <c r="F269" s="19" t="n"/>
    </row>
    <row r="270">
      <c r="A270" s="20" t="n"/>
      <c r="B270" s="19" t="n"/>
      <c r="C270" s="19" t="n"/>
      <c r="D270" s="16" t="n"/>
      <c r="E270" s="19" t="n"/>
      <c r="F270" s="19" t="n"/>
    </row>
    <row r="271">
      <c r="A271" s="20" t="n"/>
      <c r="B271" s="19" t="n"/>
      <c r="C271" s="19" t="n"/>
      <c r="D271" s="16" t="n"/>
      <c r="E271" s="19" t="n"/>
      <c r="F271" s="19" t="n"/>
    </row>
    <row r="272">
      <c r="A272" s="20" t="n"/>
      <c r="B272" s="19" t="n"/>
      <c r="C272" s="19" t="n"/>
      <c r="D272" s="16" t="n"/>
      <c r="E272" s="19" t="n"/>
      <c r="F272" s="19" t="n"/>
    </row>
    <row r="273">
      <c r="A273" s="20" t="n"/>
      <c r="B273" s="19" t="n"/>
      <c r="C273" s="19" t="n"/>
      <c r="D273" s="16" t="n"/>
      <c r="E273" s="19" t="n"/>
      <c r="F273" s="19" t="n"/>
    </row>
    <row r="274">
      <c r="A274" s="20" t="n"/>
      <c r="B274" s="19" t="n"/>
      <c r="C274" s="19" t="n"/>
      <c r="D274" s="16" t="n"/>
      <c r="E274" s="19" t="n"/>
      <c r="F274" s="19" t="n"/>
    </row>
    <row r="275">
      <c r="A275" s="20" t="n"/>
      <c r="B275" s="19" t="n"/>
      <c r="C275" s="19" t="n"/>
      <c r="D275" s="16" t="n"/>
      <c r="E275" s="19" t="n"/>
      <c r="F275" s="19" t="n"/>
    </row>
    <row r="276">
      <c r="A276" s="20" t="n"/>
      <c r="B276" s="19" t="n"/>
      <c r="C276" s="19" t="n"/>
      <c r="D276" s="16" t="n"/>
      <c r="E276" s="19" t="n"/>
      <c r="F276" s="19" t="n"/>
    </row>
    <row r="277">
      <c r="A277" s="20" t="n"/>
      <c r="B277" s="19" t="n"/>
      <c r="C277" s="19" t="n"/>
      <c r="D277" s="16" t="n"/>
      <c r="E277" s="19" t="n"/>
      <c r="F277" s="19" t="n"/>
    </row>
    <row r="278">
      <c r="A278" s="20" t="n"/>
      <c r="B278" s="19" t="n"/>
      <c r="C278" s="19" t="n"/>
      <c r="D278" s="16" t="n"/>
      <c r="E278" s="19" t="n"/>
      <c r="F278" s="19" t="n"/>
    </row>
    <row r="279">
      <c r="A279" s="20" t="n"/>
      <c r="B279" s="19" t="n"/>
      <c r="C279" s="19" t="n"/>
      <c r="D279" s="16" t="n"/>
      <c r="E279" s="19" t="n"/>
      <c r="F279" s="19" t="n"/>
    </row>
    <row r="280">
      <c r="A280" s="20" t="n"/>
      <c r="B280" s="19" t="n"/>
      <c r="C280" s="19" t="n"/>
      <c r="D280" s="16" t="n"/>
      <c r="E280" s="19" t="n"/>
      <c r="F280" s="19" t="n"/>
    </row>
    <row r="281">
      <c r="A281" s="20" t="n"/>
      <c r="B281" s="19" t="n"/>
      <c r="C281" s="19" t="n"/>
      <c r="D281" s="16" t="n"/>
      <c r="E281" s="19" t="n"/>
      <c r="F281" s="19" t="n"/>
    </row>
    <row r="282">
      <c r="A282" s="20" t="n"/>
      <c r="B282" s="19" t="n"/>
      <c r="C282" s="19" t="n"/>
      <c r="D282" s="16" t="n"/>
      <c r="E282" s="19" t="n"/>
      <c r="F282" s="19" t="n"/>
    </row>
    <row r="283">
      <c r="A283" s="20" t="n"/>
      <c r="B283" s="19" t="n"/>
      <c r="C283" s="19" t="n"/>
      <c r="D283" s="16" t="n"/>
      <c r="E283" s="19" t="n"/>
      <c r="F283" s="19" t="n"/>
    </row>
    <row r="284">
      <c r="A284" s="20" t="n"/>
      <c r="B284" s="19" t="n"/>
      <c r="C284" s="19" t="n"/>
      <c r="D284" s="16" t="n"/>
      <c r="E284" s="19" t="n"/>
      <c r="F284" s="19" t="n"/>
    </row>
    <row r="285">
      <c r="A285" s="20" t="n"/>
      <c r="B285" s="19" t="n"/>
      <c r="C285" s="19" t="n"/>
      <c r="D285" s="16" t="n"/>
      <c r="E285" s="19" t="n"/>
      <c r="F285" s="19" t="n"/>
    </row>
    <row r="286">
      <c r="A286" s="20" t="n"/>
      <c r="B286" s="19" t="n"/>
      <c r="C286" s="19" t="n"/>
      <c r="D286" s="16" t="n"/>
      <c r="E286" s="19" t="n"/>
      <c r="F286" s="19" t="n"/>
    </row>
    <row r="287">
      <c r="A287" s="20" t="n"/>
      <c r="B287" s="19" t="n"/>
      <c r="C287" s="19" t="n"/>
      <c r="D287" s="16" t="n"/>
      <c r="E287" s="19" t="n"/>
      <c r="F287" s="19" t="n"/>
    </row>
    <row r="288">
      <c r="A288" s="20" t="n"/>
      <c r="B288" s="19" t="n"/>
      <c r="C288" s="19" t="n"/>
      <c r="D288" s="16" t="n"/>
      <c r="E288" s="19" t="n"/>
      <c r="F288" s="19" t="n"/>
    </row>
    <row r="289">
      <c r="A289" s="20" t="n"/>
      <c r="B289" s="19" t="n"/>
      <c r="C289" s="19" t="n"/>
      <c r="D289" s="16" t="n"/>
      <c r="E289" s="19" t="n"/>
      <c r="F289" s="19" t="n"/>
    </row>
    <row r="290">
      <c r="A290" s="20" t="n"/>
      <c r="B290" s="19" t="n"/>
      <c r="C290" s="19" t="n"/>
      <c r="D290" s="16" t="n"/>
      <c r="E290" s="19" t="n"/>
      <c r="F290" s="19" t="n"/>
    </row>
    <row r="291">
      <c r="A291" s="20" t="n"/>
      <c r="B291" s="19" t="n"/>
      <c r="C291" s="19" t="n"/>
      <c r="D291" s="16" t="n"/>
      <c r="E291" s="19" t="n"/>
      <c r="F291" s="19" t="n"/>
    </row>
    <row r="292">
      <c r="A292" s="20" t="n"/>
      <c r="B292" s="19" t="n"/>
      <c r="C292" s="19" t="n"/>
      <c r="D292" s="16" t="n"/>
      <c r="E292" s="19" t="n"/>
      <c r="F292" s="19" t="n"/>
    </row>
    <row r="293">
      <c r="A293" s="20" t="n"/>
      <c r="B293" s="19" t="n"/>
      <c r="C293" s="19" t="n"/>
      <c r="D293" s="16" t="n"/>
      <c r="E293" s="19" t="n"/>
      <c r="F293" s="19" t="n"/>
    </row>
    <row r="294">
      <c r="A294" s="20" t="n"/>
      <c r="B294" s="19" t="n"/>
      <c r="C294" s="19" t="n"/>
      <c r="D294" s="16" t="n"/>
      <c r="E294" s="19" t="n"/>
      <c r="F294" s="19" t="n"/>
    </row>
    <row r="295">
      <c r="A295" s="20" t="n"/>
      <c r="B295" s="19" t="n"/>
      <c r="C295" s="19" t="n"/>
      <c r="D295" s="16" t="n"/>
      <c r="E295" s="19" t="n"/>
      <c r="F295" s="19" t="n"/>
    </row>
    <row r="296">
      <c r="A296" s="20" t="n"/>
      <c r="B296" s="19" t="n"/>
      <c r="C296" s="19" t="n"/>
      <c r="D296" s="16" t="n"/>
      <c r="E296" s="19" t="n"/>
      <c r="F296" s="19" t="n"/>
    </row>
    <row r="297">
      <c r="A297" s="20" t="n"/>
      <c r="B297" s="19" t="n"/>
      <c r="C297" s="19" t="n"/>
      <c r="D297" s="16" t="n"/>
      <c r="E297" s="19" t="n"/>
      <c r="F297" s="19" t="n"/>
    </row>
    <row r="298">
      <c r="A298" s="20" t="n"/>
      <c r="B298" s="19" t="n"/>
      <c r="C298" s="19" t="n"/>
      <c r="D298" s="16" t="n"/>
      <c r="E298" s="19" t="n"/>
      <c r="F298" s="19" t="n"/>
    </row>
    <row r="299">
      <c r="A299" s="20" t="n"/>
      <c r="B299" s="19" t="n"/>
      <c r="C299" s="19" t="n"/>
      <c r="D299" s="16" t="n"/>
      <c r="E299" s="19" t="n"/>
      <c r="F299" s="19" t="n"/>
    </row>
    <row r="300">
      <c r="A300" s="20" t="n"/>
      <c r="B300" s="19" t="n"/>
      <c r="C300" s="19" t="n"/>
      <c r="D300" s="16" t="n"/>
      <c r="E300" s="19" t="n"/>
      <c r="F300" s="19" t="n"/>
    </row>
    <row r="301">
      <c r="A301" s="20" t="n"/>
      <c r="B301" s="19" t="n"/>
      <c r="C301" s="19" t="n"/>
      <c r="D301" s="16" t="n"/>
      <c r="E301" s="19" t="n"/>
      <c r="F301" s="19" t="n"/>
    </row>
  </sheetData>
  <dataValidations count="3">
    <dataValidation sqref="B2:B301" showDropDown="0" showInputMessage="0" showErrorMessage="0" allowBlank="1" type="list">
      <formula1>=Setup!$A$7:$A$14</formula1>
    </dataValidation>
    <dataValidation sqref="E2:E301" showDropDown="0" showInputMessage="0" showErrorMessage="0" allowBlank="1" type="list">
      <formula1>=Setup!$A$19:$A$23</formula1>
    </dataValidation>
    <dataValidation sqref="D2:D3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Lumen &amp; Ledger</dc:creator>
  <dc:title xmlns:dc="http://purl.org/dc/elements/1.1/">Holiday Budget Planner (gifts + spending + year-over-year)</dc:title>
  <dcterms:created xmlns:dcterms="http://purl.org/dc/terms/" xmlns:xsi="http://www.w3.org/2001/XMLSchema-instance" xsi:type="dcterms:W3CDTF">2026-10-31T00:00:00Z</dcterms:created>
  <dcterms:modified xmlns:dcterms="http://purl.org/dc/terms/" xmlns:xsi="http://www.w3.org/2001/XMLSchema-instance" xsi:type="dcterms:W3CDTF">2026-10-31T13:03:41Z</dcterms:modified>
  <cp:lastModifiedBy>Lumen &amp; Ledger</cp:lastModifiedBy>
</cp:coreProperties>
</file>