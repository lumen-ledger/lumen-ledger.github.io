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uests" sheetId="3" state="visible" r:id="rId3"/>
    <sheet xmlns:r="http://schemas.openxmlformats.org/officeDocument/2006/relationships" name="Menu" sheetId="4" state="visible" r:id="rId4"/>
    <sheet xmlns:r="http://schemas.openxmlformats.org/officeDocument/2006/relationships" name="Shopp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d h:mm AM/PM"/>
  </numFmts>
  <fonts count="7">
    <font>
      <name val="Calibri"/>
      <family val="2"/>
      <color theme="1"/>
      <sz val="11"/>
      <scheme val="minor"/>
    </font>
    <font>
      <b val="1"/>
      <color rgb="000F2A3D"/>
      <sz val="16"/>
    </font>
    <font>
      <i val="1"/>
    </font>
    <font>
      <b val="1"/>
      <color rgb="000F2A3D"/>
    </font>
    <font>
      <b val="1"/>
      <color rgb="000F2A3D"/>
      <sz val="14"/>
    </font>
    <font>
      <i val="1"/>
      <color rgb="0055555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4D6"/>
      </patternFill>
    </fill>
    <fill>
      <patternFill patternType="solid">
        <fgColor rgb="000F2A3D"/>
      </patternFill>
    </fill>
  </fills>
  <borders count="2">
    <border>
      <left/>
      <right/>
      <top/>
      <bottom/>
      <diagonal/>
    </border>
    <border>
      <left style="thin">
        <color rgb="00D0CCC0"/>
      </left>
      <right style="thin">
        <color rgb="00D0CCC0"/>
      </right>
      <top style="thin">
        <color rgb="00D0CCC0"/>
      </top>
      <bottom style="thin">
        <color rgb="00D0CCC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165" fontId="0" fillId="2" borderId="1" pivotButton="0" quotePrefix="0" xfId="0"/>
    <xf numFmtId="0" fontId="5" fillId="0" borderId="0" pivotButton="0" quotePrefix="0" xfId="0"/>
    <xf numFmtId="4" fontId="0" fillId="2" borderId="1" pivotButton="0" quotePrefix="0" xfId="0"/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4" fontId="0" fillId="0" borderId="1" pivotButton="0" quotePrefix="0" xfId="0"/>
    <xf numFmtId="0" fontId="6" fillId="3" borderId="1" applyAlignment="1" pivotButton="0" quotePrefix="0" xfId="0">
      <alignment vertical="center" wrapText="1"/>
    </xf>
    <xf numFmtId="0" fontId="0" fillId="2" borderId="1" pivotButton="0" quotePrefix="0" xfId="0"/>
    <xf numFmtId="1" fontId="0" fillId="2" borderId="1" pivotButton="0" quotePrefix="0" xfId="0"/>
  </cellXfs>
  <cellStyles count="1">
    <cellStyle name="Normal" xfId="0" builtinId="0" hidden="0"/>
  </cellStyles>
  <dxfs count="3">
    <dxf>
      <font>
        <b val="1"/>
        <color rgb="00C2452D"/>
      </font>
    </dxf>
    <dxf>
      <font>
        <b val="1"/>
        <color rgb="00E07B00"/>
      </font>
    </dxf>
    <dxf>
      <font>
        <b val="1"/>
        <color rgb="00C2452D"/>
      </font>
      <fill>
        <patternFill patternType="solid">
          <fgColor rgb="00F8D7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Thanksgiving Dinner Planner</t>
        </is>
      </c>
    </row>
    <row r="2">
      <c r="A2" s="2" t="inlineStr">
        <is>
          <t>Lumen &amp; Ledger - CC BY 4.0. No macros, no external links, no tracking. Works in Excel, LibreOffice and Google Sheets.</t>
        </is>
      </c>
    </row>
    <row r="3">
      <c r="A3" s="3" t="inlineStr"/>
    </row>
    <row r="4">
      <c r="A4" s="4" t="inlineStr">
        <is>
          <t>HOW TO USE (yellow cells are inputs, everything else is calculated)</t>
        </is>
      </c>
    </row>
    <row r="5">
      <c r="A5" s="3" t="inlineStr">
        <is>
          <t>1. 'Summary': type the date and time you want to sit down to eat, and your food budget.</t>
        </is>
      </c>
    </row>
    <row r="6">
      <c r="A6" s="3" t="inlineStr">
        <is>
          <t>2. 'Guests': one row per household. Adults, kids, RSVP, dietary needs, what they are bringing.</t>
        </is>
      </c>
    </row>
    <row r="7">
      <c r="A7" s="3" t="inlineStr">
        <is>
          <t>3. 'Menu': one row per dish. Where it cooks, oven temperature, cooking minutes from YOUR recipe, and minutes it rests or waits.</t>
        </is>
      </c>
    </row>
    <row r="8">
      <c r="A8" s="3" t="inlineStr">
        <is>
          <t xml:space="preserve">   The sheet works backwards from the meal time: 'Start' = when the dish must go in, 'Done' = when it comes out.</t>
        </is>
      </c>
    </row>
    <row r="9">
      <c r="A9" s="3" t="inlineStr">
        <is>
          <t xml:space="preserve">   'Oven clash' counts other oven dishes that need a DIFFERENT temperature at the same time. With one oven, fix every clash:</t>
        </is>
      </c>
    </row>
    <row r="10">
      <c r="A10" s="3" t="inlineStr">
        <is>
          <t xml:space="preserve">   move a dish to the stovetop or slow cooker, cook it ahead, or bake it while the turkey rests.</t>
        </is>
      </c>
    </row>
    <row r="11">
      <c r="A11" s="3" t="inlineStr">
        <is>
          <t>4. 'Shopping': one row per item, linked to a dish. Estimated cost first; type the actual cost from the receipt when you buy it.</t>
        </is>
      </c>
    </row>
    <row r="12">
      <c r="A12" s="3" t="inlineStr">
        <is>
          <t>5. 'Summary': head count, oven clashes, the first dish to start, projected cost, cost per person, items still to buy.</t>
        </is>
      </c>
    </row>
    <row r="13">
      <c r="A13" s="3" t="inlineStr"/>
    </row>
    <row r="14">
      <c r="A14" s="4" t="inlineStr">
        <is>
          <t>TURKEY AND FOOD SAFETY</t>
        </is>
      </c>
    </row>
    <row r="15">
      <c r="A15" s="3" t="inlineStr">
        <is>
          <t>This sheet does not invent cooking times: enter the times from your recipe or from an official table.</t>
        </is>
      </c>
    </row>
    <row r="16">
      <c r="A16" s="3" t="inlineStr">
        <is>
          <t>Roasting and thawing tables: USDA FSIS 'Let's Talk Turkey' and university Extension services (for example UGA Extension Circular 1226).</t>
        </is>
      </c>
    </row>
    <row r="17">
      <c r="A17" s="3" t="inlineStr">
        <is>
          <t>Times are only estimates: the turkey is done when a food thermometer reads 165 F in the thickest part of the breast, the innermost thigh and the wing.</t>
        </is>
      </c>
    </row>
    <row r="18">
      <c r="A18" s="3" t="inlineStr">
        <is>
          <t>A frozen turkey needs days to thaw in the refrigerator: plan the thaw start before you plan the menu.</t>
        </is>
      </c>
    </row>
    <row r="19">
      <c r="A19" s="3" t="inlineStr"/>
    </row>
    <row r="20">
      <c r="A20" s="4" t="inlineStr">
        <is>
          <t>TIPS</t>
        </is>
      </c>
    </row>
    <row r="21">
      <c r="A21" s="3" t="inlineStr">
        <is>
          <t>- The example rows are fictitious (marked 'Example'): delete them or overwrite them. Their oven times are placeholders, not advice.</t>
        </is>
      </c>
    </row>
    <row r="22">
      <c r="A22" s="3" t="inlineStr">
        <is>
          <t>- 'Projected cost' uses the actual cost when you have it and the estimate otherwise, so it gets more accurate as you shop.</t>
        </is>
      </c>
    </row>
    <row r="23">
      <c r="A23" s="3" t="inlineStr">
        <is>
          <t>- Amounts have no currency symbol on purpose. Temperatures: use F or C, but the same unit in every row.</t>
        </is>
      </c>
    </row>
    <row r="24">
      <c r="A24" s="3" t="inlineStr"/>
    </row>
    <row r="25">
      <c r="A25" s="4" t="inlineStr">
        <is>
          <t>NOTE</t>
        </is>
      </c>
    </row>
    <row r="26">
      <c r="A26" s="3" t="inlineStr">
        <is>
          <t>General information and a planning sheet, not food-safety or financial advice. Stores nothing outside the file.</t>
        </is>
      </c>
    </row>
    <row r="27">
      <c r="A27" s="3" t="inlineStr">
        <is>
          <t>Free updates and other small tools: https://lumen-ledger.github.io/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70" customWidth="1" min="3" max="3"/>
  </cols>
  <sheetData>
    <row r="1">
      <c r="A1" s="5" t="inlineStr">
        <is>
          <t>Summary</t>
        </is>
      </c>
    </row>
    <row r="2">
      <c r="A2" t="inlineStr">
        <is>
          <t>Meal time (date and time)</t>
        </is>
      </c>
      <c r="B2" s="6" t="n">
        <v>46352.625</v>
      </c>
      <c r="C2" s="7" t="inlineStr">
        <is>
          <t>When you sit down to eat. Every start time in 'Menu' is counted back from here.</t>
        </is>
      </c>
    </row>
    <row r="3">
      <c r="A3" t="inlineStr">
        <is>
          <t>Food budget</t>
        </is>
      </c>
      <c r="B3" s="8" t="n">
        <v>250</v>
      </c>
    </row>
    <row r="5">
      <c r="A5" s="9" t="inlineStr">
        <is>
          <t>GUESTS</t>
        </is>
      </c>
    </row>
    <row r="6">
      <c r="A6" t="inlineStr">
        <is>
          <t>Households invited</t>
        </is>
      </c>
      <c r="B6" s="10">
        <f>COUNTA(Guests!A2:A61)</f>
        <v/>
      </c>
    </row>
    <row r="7">
      <c r="A7" t="inlineStr">
        <is>
          <t>Households coming (RSVP Yes)</t>
        </is>
      </c>
      <c r="B7" s="10">
        <f>COUNTIF(Guests!D2:D61,"Yes")</f>
        <v/>
      </c>
    </row>
    <row r="8">
      <c r="A8" t="inlineStr">
        <is>
          <t>Households not answered yet</t>
        </is>
      </c>
      <c r="B8" s="10">
        <f>SUMPRODUCT((Guests!A2:A61&lt;&gt;"")*((Guests!D2:D61="Invited")+(Guests!D2:D61="Maybe")))</f>
        <v/>
      </c>
      <c r="C8" s="7" t="inlineStr">
        <is>
          <t>Invited or Maybe.</t>
        </is>
      </c>
    </row>
    <row r="9">
      <c r="A9" t="inlineStr">
        <is>
          <t>Adults coming</t>
        </is>
      </c>
      <c r="B9" s="10">
        <f>SUMIF(Guests!D2:D61,"Yes",Guests!B2:B61)</f>
        <v/>
      </c>
      <c r="C9" s="7" t="inlineStr">
        <is>
          <t>Count yourself and your household in 'Guests' too.</t>
        </is>
      </c>
    </row>
    <row r="10">
      <c r="A10" t="inlineStr">
        <is>
          <t>Kids coming</t>
        </is>
      </c>
      <c r="B10" s="10">
        <f>SUMIF(Guests!D2:D61,"Yes",Guests!C2:C61)</f>
        <v/>
      </c>
    </row>
    <row r="11">
      <c r="A11" t="inlineStr">
        <is>
          <t>People at the table</t>
        </is>
      </c>
      <c r="B11" s="10">
        <f>B9+B10</f>
        <v/>
      </c>
    </row>
    <row r="12">
      <c r="A12" t="inlineStr">
        <is>
          <t>Coming with dietary needs</t>
        </is>
      </c>
      <c r="B12" s="10">
        <f>SUMPRODUCT((Guests!D2:D61="Yes")*(Guests!E2:E61&lt;&gt;""))</f>
        <v/>
      </c>
      <c r="C12" s="7" t="inlineStr">
        <is>
          <t>Households with something written in 'Dietary needs'.</t>
        </is>
      </c>
    </row>
    <row r="13">
      <c r="A13" s="9" t="inlineStr">
        <is>
          <t>COOKING</t>
        </is>
      </c>
    </row>
    <row r="14">
      <c r="A14" t="inlineStr">
        <is>
          <t>Dishes on the menu</t>
        </is>
      </c>
      <c r="B14" s="10">
        <f>COUNTA(Menu!A2:A41)</f>
        <v/>
      </c>
    </row>
    <row r="15">
      <c r="A15" t="inlineStr">
        <is>
          <t>Oven dishes</t>
        </is>
      </c>
      <c r="B15" s="10">
        <f>SUMPRODUCT((Menu!A2:A41&lt;&gt;"")*(Menu!C2:C41="Oven"))</f>
        <v/>
      </c>
    </row>
    <row r="16">
      <c r="A16" t="inlineStr">
        <is>
          <t>Dishes with an oven clash</t>
        </is>
      </c>
      <c r="B16" s="10">
        <f>COUNTIF(Menu!I2:I41,"&gt;0")</f>
        <v/>
      </c>
      <c r="C16" s="7" t="inlineStr">
        <is>
          <t>Should be 0 with a single oven.</t>
        </is>
      </c>
    </row>
    <row r="17">
      <c r="A17" t="inlineStr">
        <is>
          <t>First dish to start</t>
        </is>
      </c>
      <c r="B17" s="11">
        <f>IF(COUNT(Menu!G2:G41)=0,"",MIN(Menu!G2:G41))</f>
        <v/>
      </c>
      <c r="C17" s="7" t="inlineStr">
        <is>
          <t>Earliest 'Start' in 'Menu' (make-ahead dishes without minutes are not counted).</t>
        </is>
      </c>
    </row>
    <row r="18">
      <c r="A18" t="inlineStr">
        <is>
          <t>Dishes guests are bringing</t>
        </is>
      </c>
      <c r="B18" s="10">
        <f>SUMPRODUCT((Menu!A2:A41&lt;&gt;"")*(Menu!B2:B41&lt;&gt;"Me")*(Menu!B2:B41&lt;&gt;""))</f>
        <v/>
      </c>
      <c r="C18" s="7" t="inlineStr">
        <is>
          <t>Rows where 'Made by' is not 'Me'.</t>
        </is>
      </c>
    </row>
    <row r="19">
      <c r="A19" s="9" t="inlineStr">
        <is>
          <t>MONEY</t>
        </is>
      </c>
    </row>
    <row r="20">
      <c r="A20" t="inlineStr">
        <is>
          <t>Estimated shopping</t>
        </is>
      </c>
      <c r="B20" s="12">
        <f>SUM(Shopping!F2:F151)</f>
        <v/>
      </c>
    </row>
    <row r="21">
      <c r="A21" t="inlineStr">
        <is>
          <t>Actual so far</t>
        </is>
      </c>
      <c r="B21" s="12">
        <f>SUM(Shopping!G2:G151)</f>
        <v/>
      </c>
    </row>
    <row r="22">
      <c r="A22" t="inlineStr">
        <is>
          <t>Projected cost</t>
        </is>
      </c>
      <c r="B22" s="12">
        <f>SUM(Shopping!J2:J151)</f>
        <v/>
      </c>
      <c r="C22" s="7" t="inlineStr">
        <is>
          <t>Actual where known, estimate otherwise.</t>
        </is>
      </c>
    </row>
    <row r="23">
      <c r="A23" t="inlineStr">
        <is>
          <t>Budget left (projected)</t>
        </is>
      </c>
      <c r="B23" s="12">
        <f>B3-B22</f>
        <v/>
      </c>
    </row>
    <row r="24">
      <c r="A24" t="inlineStr">
        <is>
          <t>Projected cost per person</t>
        </is>
      </c>
      <c r="B24" s="12">
        <f>IF(B11&gt;0,B22/B11,"")</f>
        <v/>
      </c>
    </row>
    <row r="25">
      <c r="A25" t="inlineStr">
        <is>
          <t>Items still to buy</t>
        </is>
      </c>
      <c r="B25" s="10">
        <f>SUMPRODUCT((Shopping!A2:A151&lt;&gt;"")*(Shopping!H2:H151&lt;&gt;"Yes"))</f>
        <v/>
      </c>
    </row>
  </sheetData>
  <conditionalFormatting sqref="B16">
    <cfRule type="expression" priority="1" dxfId="0">
      <formula>B16&gt;0</formula>
    </cfRule>
  </conditionalFormatting>
  <conditionalFormatting sqref="B23">
    <cfRule type="expression" priority="2" dxfId="0">
      <formula>B23&lt;0</formula>
    </cfRule>
  </conditionalFormatting>
  <conditionalFormatting sqref="B8">
    <cfRule type="expression" priority="3" dxfId="1">
      <formula>B8&gt;0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11" customWidth="1" min="4" max="4"/>
    <col width="34" customWidth="1" min="5" max="5"/>
    <col width="26" customWidth="1" min="6" max="6"/>
    <col width="30" customWidth="1" min="7" max="7"/>
  </cols>
  <sheetData>
    <row r="1" ht="32" customHeight="1">
      <c r="A1" s="13" t="inlineStr">
        <is>
          <t>Household / name</t>
        </is>
      </c>
      <c r="B1" s="13" t="inlineStr">
        <is>
          <t>Adults</t>
        </is>
      </c>
      <c r="C1" s="13" t="inlineStr">
        <is>
          <t>Kids</t>
        </is>
      </c>
      <c r="D1" s="13" t="inlineStr">
        <is>
          <t>RSVP</t>
        </is>
      </c>
      <c r="E1" s="13" t="inlineStr">
        <is>
          <t>Dietary needs / allergies</t>
        </is>
      </c>
      <c r="F1" s="13" t="inlineStr">
        <is>
          <t>Bringing</t>
        </is>
      </c>
      <c r="G1" s="13" t="inlineStr">
        <is>
          <t>Notes</t>
        </is>
      </c>
    </row>
    <row r="2">
      <c r="A2" s="14" t="inlineStr">
        <is>
          <t>Example: Us</t>
        </is>
      </c>
      <c r="B2" s="15" t="n">
        <v>2</v>
      </c>
      <c r="C2" s="15" t="n">
        <v>1</v>
      </c>
      <c r="D2" s="14" t="inlineStr">
        <is>
          <t>Yes</t>
        </is>
      </c>
      <c r="E2" s="14" t="n"/>
      <c r="F2" s="14" t="inlineStr">
        <is>
          <t>Turkey, sides</t>
        </is>
      </c>
      <c r="G2" s="14" t="inlineStr">
        <is>
          <t>Hosts</t>
        </is>
      </c>
    </row>
    <row r="3">
      <c r="A3" s="14" t="inlineStr">
        <is>
          <t>Example: Grandparents</t>
        </is>
      </c>
      <c r="B3" s="15" t="n">
        <v>2</v>
      </c>
      <c r="C3" s="15" t="n">
        <v>0</v>
      </c>
      <c r="D3" s="14" t="inlineStr">
        <is>
          <t>Yes</t>
        </is>
      </c>
      <c r="E3" s="14" t="inlineStr">
        <is>
          <t>Low salt</t>
        </is>
      </c>
      <c r="F3" s="14" t="inlineStr">
        <is>
          <t>Pumpkin pie</t>
        </is>
      </c>
      <c r="G3" s="14" t="n"/>
    </row>
    <row r="4">
      <c r="A4" s="14" t="inlineStr">
        <is>
          <t>Example: Sam &amp; Alex</t>
        </is>
      </c>
      <c r="B4" s="15" t="n">
        <v>2</v>
      </c>
      <c r="C4" s="15" t="n">
        <v>2</v>
      </c>
      <c r="D4" s="14" t="inlineStr">
        <is>
          <t>Yes</t>
        </is>
      </c>
      <c r="E4" s="14" t="inlineStr">
        <is>
          <t>One vegetarian</t>
        </is>
      </c>
      <c r="F4" s="14" t="inlineStr">
        <is>
          <t>Green bean casserole</t>
        </is>
      </c>
      <c r="G4" s="14" t="inlineStr">
        <is>
          <t>Arrive 2 PM</t>
        </is>
      </c>
    </row>
    <row r="5">
      <c r="A5" s="14" t="inlineStr">
        <is>
          <t>Example: Neighbors</t>
        </is>
      </c>
      <c r="B5" s="15" t="n">
        <v>2</v>
      </c>
      <c r="C5" s="15" t="n">
        <v>0</v>
      </c>
      <c r="D5" s="14" t="inlineStr">
        <is>
          <t>Maybe</t>
        </is>
      </c>
      <c r="E5" s="14" t="inlineStr">
        <is>
          <t>Nut allergy</t>
        </is>
      </c>
      <c r="F5" s="14" t="n"/>
      <c r="G5" s="14" t="inlineStr">
        <is>
          <t>Ask by Nov 20</t>
        </is>
      </c>
    </row>
    <row r="6">
      <c r="A6" s="14" t="n"/>
      <c r="B6" s="15" t="n"/>
      <c r="C6" s="15" t="n"/>
      <c r="D6" s="14" t="n"/>
      <c r="E6" s="14" t="n"/>
      <c r="F6" s="14" t="n"/>
      <c r="G6" s="14" t="n"/>
    </row>
    <row r="7">
      <c r="A7" s="14" t="n"/>
      <c r="B7" s="15" t="n"/>
      <c r="C7" s="15" t="n"/>
      <c r="D7" s="14" t="n"/>
      <c r="E7" s="14" t="n"/>
      <c r="F7" s="14" t="n"/>
      <c r="G7" s="14" t="n"/>
    </row>
    <row r="8">
      <c r="A8" s="14" t="n"/>
      <c r="B8" s="15" t="n"/>
      <c r="C8" s="15" t="n"/>
      <c r="D8" s="14" t="n"/>
      <c r="E8" s="14" t="n"/>
      <c r="F8" s="14" t="n"/>
      <c r="G8" s="14" t="n"/>
    </row>
    <row r="9">
      <c r="A9" s="14" t="n"/>
      <c r="B9" s="15" t="n"/>
      <c r="C9" s="15" t="n"/>
      <c r="D9" s="14" t="n"/>
      <c r="E9" s="14" t="n"/>
      <c r="F9" s="14" t="n"/>
      <c r="G9" s="14" t="n"/>
    </row>
    <row r="10">
      <c r="A10" s="14" t="n"/>
      <c r="B10" s="15" t="n"/>
      <c r="C10" s="15" t="n"/>
      <c r="D10" s="14" t="n"/>
      <c r="E10" s="14" t="n"/>
      <c r="F10" s="14" t="n"/>
      <c r="G10" s="14" t="n"/>
    </row>
    <row r="11">
      <c r="A11" s="14" t="n"/>
      <c r="B11" s="15" t="n"/>
      <c r="C11" s="15" t="n"/>
      <c r="D11" s="14" t="n"/>
      <c r="E11" s="14" t="n"/>
      <c r="F11" s="14" t="n"/>
      <c r="G11" s="14" t="n"/>
    </row>
    <row r="12">
      <c r="A12" s="14" t="n"/>
      <c r="B12" s="15" t="n"/>
      <c r="C12" s="15" t="n"/>
      <c r="D12" s="14" t="n"/>
      <c r="E12" s="14" t="n"/>
      <c r="F12" s="14" t="n"/>
      <c r="G12" s="14" t="n"/>
    </row>
    <row r="13">
      <c r="A13" s="14" t="n"/>
      <c r="B13" s="15" t="n"/>
      <c r="C13" s="15" t="n"/>
      <c r="D13" s="14" t="n"/>
      <c r="E13" s="14" t="n"/>
      <c r="F13" s="14" t="n"/>
      <c r="G13" s="14" t="n"/>
    </row>
    <row r="14">
      <c r="A14" s="14" t="n"/>
      <c r="B14" s="15" t="n"/>
      <c r="C14" s="15" t="n"/>
      <c r="D14" s="14" t="n"/>
      <c r="E14" s="14" t="n"/>
      <c r="F14" s="14" t="n"/>
      <c r="G14" s="14" t="n"/>
    </row>
    <row r="15">
      <c r="A15" s="14" t="n"/>
      <c r="B15" s="15" t="n"/>
      <c r="C15" s="15" t="n"/>
      <c r="D15" s="14" t="n"/>
      <c r="E15" s="14" t="n"/>
      <c r="F15" s="14" t="n"/>
      <c r="G15" s="14" t="n"/>
    </row>
    <row r="16">
      <c r="A16" s="14" t="n"/>
      <c r="B16" s="15" t="n"/>
      <c r="C16" s="15" t="n"/>
      <c r="D16" s="14" t="n"/>
      <c r="E16" s="14" t="n"/>
      <c r="F16" s="14" t="n"/>
      <c r="G16" s="14" t="n"/>
    </row>
    <row r="17">
      <c r="A17" s="14" t="n"/>
      <c r="B17" s="15" t="n"/>
      <c r="C17" s="15" t="n"/>
      <c r="D17" s="14" t="n"/>
      <c r="E17" s="14" t="n"/>
      <c r="F17" s="14" t="n"/>
      <c r="G17" s="14" t="n"/>
    </row>
    <row r="18">
      <c r="A18" s="14" t="n"/>
      <c r="B18" s="15" t="n"/>
      <c r="C18" s="15" t="n"/>
      <c r="D18" s="14" t="n"/>
      <c r="E18" s="14" t="n"/>
      <c r="F18" s="14" t="n"/>
      <c r="G18" s="14" t="n"/>
    </row>
    <row r="19">
      <c r="A19" s="14" t="n"/>
      <c r="B19" s="15" t="n"/>
      <c r="C19" s="15" t="n"/>
      <c r="D19" s="14" t="n"/>
      <c r="E19" s="14" t="n"/>
      <c r="F19" s="14" t="n"/>
      <c r="G19" s="14" t="n"/>
    </row>
    <row r="20">
      <c r="A20" s="14" t="n"/>
      <c r="B20" s="15" t="n"/>
      <c r="C20" s="15" t="n"/>
      <c r="D20" s="14" t="n"/>
      <c r="E20" s="14" t="n"/>
      <c r="F20" s="14" t="n"/>
      <c r="G20" s="14" t="n"/>
    </row>
    <row r="21">
      <c r="A21" s="14" t="n"/>
      <c r="B21" s="15" t="n"/>
      <c r="C21" s="15" t="n"/>
      <c r="D21" s="14" t="n"/>
      <c r="E21" s="14" t="n"/>
      <c r="F21" s="14" t="n"/>
      <c r="G21" s="14" t="n"/>
    </row>
    <row r="22">
      <c r="A22" s="14" t="n"/>
      <c r="B22" s="15" t="n"/>
      <c r="C22" s="15" t="n"/>
      <c r="D22" s="14" t="n"/>
      <c r="E22" s="14" t="n"/>
      <c r="F22" s="14" t="n"/>
      <c r="G22" s="14" t="n"/>
    </row>
    <row r="23">
      <c r="A23" s="14" t="n"/>
      <c r="B23" s="15" t="n"/>
      <c r="C23" s="15" t="n"/>
      <c r="D23" s="14" t="n"/>
      <c r="E23" s="14" t="n"/>
      <c r="F23" s="14" t="n"/>
      <c r="G23" s="14" t="n"/>
    </row>
    <row r="24">
      <c r="A24" s="14" t="n"/>
      <c r="B24" s="15" t="n"/>
      <c r="C24" s="15" t="n"/>
      <c r="D24" s="14" t="n"/>
      <c r="E24" s="14" t="n"/>
      <c r="F24" s="14" t="n"/>
      <c r="G24" s="14" t="n"/>
    </row>
    <row r="25">
      <c r="A25" s="14" t="n"/>
      <c r="B25" s="15" t="n"/>
      <c r="C25" s="15" t="n"/>
      <c r="D25" s="14" t="n"/>
      <c r="E25" s="14" t="n"/>
      <c r="F25" s="14" t="n"/>
      <c r="G25" s="14" t="n"/>
    </row>
    <row r="26">
      <c r="A26" s="14" t="n"/>
      <c r="B26" s="15" t="n"/>
      <c r="C26" s="15" t="n"/>
      <c r="D26" s="14" t="n"/>
      <c r="E26" s="14" t="n"/>
      <c r="F26" s="14" t="n"/>
      <c r="G26" s="14" t="n"/>
    </row>
    <row r="27">
      <c r="A27" s="14" t="n"/>
      <c r="B27" s="15" t="n"/>
      <c r="C27" s="15" t="n"/>
      <c r="D27" s="14" t="n"/>
      <c r="E27" s="14" t="n"/>
      <c r="F27" s="14" t="n"/>
      <c r="G27" s="14" t="n"/>
    </row>
    <row r="28">
      <c r="A28" s="14" t="n"/>
      <c r="B28" s="15" t="n"/>
      <c r="C28" s="15" t="n"/>
      <c r="D28" s="14" t="n"/>
      <c r="E28" s="14" t="n"/>
      <c r="F28" s="14" t="n"/>
      <c r="G28" s="14" t="n"/>
    </row>
    <row r="29">
      <c r="A29" s="14" t="n"/>
      <c r="B29" s="15" t="n"/>
      <c r="C29" s="15" t="n"/>
      <c r="D29" s="14" t="n"/>
      <c r="E29" s="14" t="n"/>
      <c r="F29" s="14" t="n"/>
      <c r="G29" s="14" t="n"/>
    </row>
    <row r="30">
      <c r="A30" s="14" t="n"/>
      <c r="B30" s="15" t="n"/>
      <c r="C30" s="15" t="n"/>
      <c r="D30" s="14" t="n"/>
      <c r="E30" s="14" t="n"/>
      <c r="F30" s="14" t="n"/>
      <c r="G30" s="14" t="n"/>
    </row>
    <row r="31">
      <c r="A31" s="14" t="n"/>
      <c r="B31" s="15" t="n"/>
      <c r="C31" s="15" t="n"/>
      <c r="D31" s="14" t="n"/>
      <c r="E31" s="14" t="n"/>
      <c r="F31" s="14" t="n"/>
      <c r="G31" s="14" t="n"/>
    </row>
    <row r="32">
      <c r="A32" s="14" t="n"/>
      <c r="B32" s="15" t="n"/>
      <c r="C32" s="15" t="n"/>
      <c r="D32" s="14" t="n"/>
      <c r="E32" s="14" t="n"/>
      <c r="F32" s="14" t="n"/>
      <c r="G32" s="14" t="n"/>
    </row>
    <row r="33">
      <c r="A33" s="14" t="n"/>
      <c r="B33" s="15" t="n"/>
      <c r="C33" s="15" t="n"/>
      <c r="D33" s="14" t="n"/>
      <c r="E33" s="14" t="n"/>
      <c r="F33" s="14" t="n"/>
      <c r="G33" s="14" t="n"/>
    </row>
    <row r="34">
      <c r="A34" s="14" t="n"/>
      <c r="B34" s="15" t="n"/>
      <c r="C34" s="15" t="n"/>
      <c r="D34" s="14" t="n"/>
      <c r="E34" s="14" t="n"/>
      <c r="F34" s="14" t="n"/>
      <c r="G34" s="14" t="n"/>
    </row>
    <row r="35">
      <c r="A35" s="14" t="n"/>
      <c r="B35" s="15" t="n"/>
      <c r="C35" s="15" t="n"/>
      <c r="D35" s="14" t="n"/>
      <c r="E35" s="14" t="n"/>
      <c r="F35" s="14" t="n"/>
      <c r="G35" s="14" t="n"/>
    </row>
    <row r="36">
      <c r="A36" s="14" t="n"/>
      <c r="B36" s="15" t="n"/>
      <c r="C36" s="15" t="n"/>
      <c r="D36" s="14" t="n"/>
      <c r="E36" s="14" t="n"/>
      <c r="F36" s="14" t="n"/>
      <c r="G36" s="14" t="n"/>
    </row>
    <row r="37">
      <c r="A37" s="14" t="n"/>
      <c r="B37" s="15" t="n"/>
      <c r="C37" s="15" t="n"/>
      <c r="D37" s="14" t="n"/>
      <c r="E37" s="14" t="n"/>
      <c r="F37" s="14" t="n"/>
      <c r="G37" s="14" t="n"/>
    </row>
    <row r="38">
      <c r="A38" s="14" t="n"/>
      <c r="B38" s="15" t="n"/>
      <c r="C38" s="15" t="n"/>
      <c r="D38" s="14" t="n"/>
      <c r="E38" s="14" t="n"/>
      <c r="F38" s="14" t="n"/>
      <c r="G38" s="14" t="n"/>
    </row>
    <row r="39">
      <c r="A39" s="14" t="n"/>
      <c r="B39" s="15" t="n"/>
      <c r="C39" s="15" t="n"/>
      <c r="D39" s="14" t="n"/>
      <c r="E39" s="14" t="n"/>
      <c r="F39" s="14" t="n"/>
      <c r="G39" s="14" t="n"/>
    </row>
    <row r="40">
      <c r="A40" s="14" t="n"/>
      <c r="B40" s="15" t="n"/>
      <c r="C40" s="15" t="n"/>
      <c r="D40" s="14" t="n"/>
      <c r="E40" s="14" t="n"/>
      <c r="F40" s="14" t="n"/>
      <c r="G40" s="14" t="n"/>
    </row>
    <row r="41">
      <c r="A41" s="14" t="n"/>
      <c r="B41" s="15" t="n"/>
      <c r="C41" s="15" t="n"/>
      <c r="D41" s="14" t="n"/>
      <c r="E41" s="14" t="n"/>
      <c r="F41" s="14" t="n"/>
      <c r="G41" s="14" t="n"/>
    </row>
    <row r="42">
      <c r="A42" s="14" t="n"/>
      <c r="B42" s="15" t="n"/>
      <c r="C42" s="15" t="n"/>
      <c r="D42" s="14" t="n"/>
      <c r="E42" s="14" t="n"/>
      <c r="F42" s="14" t="n"/>
      <c r="G42" s="14" t="n"/>
    </row>
    <row r="43">
      <c r="A43" s="14" t="n"/>
      <c r="B43" s="15" t="n"/>
      <c r="C43" s="15" t="n"/>
      <c r="D43" s="14" t="n"/>
      <c r="E43" s="14" t="n"/>
      <c r="F43" s="14" t="n"/>
      <c r="G43" s="14" t="n"/>
    </row>
    <row r="44">
      <c r="A44" s="14" t="n"/>
      <c r="B44" s="15" t="n"/>
      <c r="C44" s="15" t="n"/>
      <c r="D44" s="14" t="n"/>
      <c r="E44" s="14" t="n"/>
      <c r="F44" s="14" t="n"/>
      <c r="G44" s="14" t="n"/>
    </row>
    <row r="45">
      <c r="A45" s="14" t="n"/>
      <c r="B45" s="15" t="n"/>
      <c r="C45" s="15" t="n"/>
      <c r="D45" s="14" t="n"/>
      <c r="E45" s="14" t="n"/>
      <c r="F45" s="14" t="n"/>
      <c r="G45" s="14" t="n"/>
    </row>
    <row r="46">
      <c r="A46" s="14" t="n"/>
      <c r="B46" s="15" t="n"/>
      <c r="C46" s="15" t="n"/>
      <c r="D46" s="14" t="n"/>
      <c r="E46" s="14" t="n"/>
      <c r="F46" s="14" t="n"/>
      <c r="G46" s="14" t="n"/>
    </row>
    <row r="47">
      <c r="A47" s="14" t="n"/>
      <c r="B47" s="15" t="n"/>
      <c r="C47" s="15" t="n"/>
      <c r="D47" s="14" t="n"/>
      <c r="E47" s="14" t="n"/>
      <c r="F47" s="14" t="n"/>
      <c r="G47" s="14" t="n"/>
    </row>
    <row r="48">
      <c r="A48" s="14" t="n"/>
      <c r="B48" s="15" t="n"/>
      <c r="C48" s="15" t="n"/>
      <c r="D48" s="14" t="n"/>
      <c r="E48" s="14" t="n"/>
      <c r="F48" s="14" t="n"/>
      <c r="G48" s="14" t="n"/>
    </row>
    <row r="49">
      <c r="A49" s="14" t="n"/>
      <c r="B49" s="15" t="n"/>
      <c r="C49" s="15" t="n"/>
      <c r="D49" s="14" t="n"/>
      <c r="E49" s="14" t="n"/>
      <c r="F49" s="14" t="n"/>
      <c r="G49" s="14" t="n"/>
    </row>
    <row r="50">
      <c r="A50" s="14" t="n"/>
      <c r="B50" s="15" t="n"/>
      <c r="C50" s="15" t="n"/>
      <c r="D50" s="14" t="n"/>
      <c r="E50" s="14" t="n"/>
      <c r="F50" s="14" t="n"/>
      <c r="G50" s="14" t="n"/>
    </row>
    <row r="51">
      <c r="A51" s="14" t="n"/>
      <c r="B51" s="15" t="n"/>
      <c r="C51" s="15" t="n"/>
      <c r="D51" s="14" t="n"/>
      <c r="E51" s="14" t="n"/>
      <c r="F51" s="14" t="n"/>
      <c r="G51" s="14" t="n"/>
    </row>
    <row r="52">
      <c r="A52" s="14" t="n"/>
      <c r="B52" s="15" t="n"/>
      <c r="C52" s="15" t="n"/>
      <c r="D52" s="14" t="n"/>
      <c r="E52" s="14" t="n"/>
      <c r="F52" s="14" t="n"/>
      <c r="G52" s="14" t="n"/>
    </row>
    <row r="53">
      <c r="A53" s="14" t="n"/>
      <c r="B53" s="15" t="n"/>
      <c r="C53" s="15" t="n"/>
      <c r="D53" s="14" t="n"/>
      <c r="E53" s="14" t="n"/>
      <c r="F53" s="14" t="n"/>
      <c r="G53" s="14" t="n"/>
    </row>
    <row r="54">
      <c r="A54" s="14" t="n"/>
      <c r="B54" s="15" t="n"/>
      <c r="C54" s="15" t="n"/>
      <c r="D54" s="14" t="n"/>
      <c r="E54" s="14" t="n"/>
      <c r="F54" s="14" t="n"/>
      <c r="G54" s="14" t="n"/>
    </row>
    <row r="55">
      <c r="A55" s="14" t="n"/>
      <c r="B55" s="15" t="n"/>
      <c r="C55" s="15" t="n"/>
      <c r="D55" s="14" t="n"/>
      <c r="E55" s="14" t="n"/>
      <c r="F55" s="14" t="n"/>
      <c r="G55" s="14" t="n"/>
    </row>
    <row r="56">
      <c r="A56" s="14" t="n"/>
      <c r="B56" s="15" t="n"/>
      <c r="C56" s="15" t="n"/>
      <c r="D56" s="14" t="n"/>
      <c r="E56" s="14" t="n"/>
      <c r="F56" s="14" t="n"/>
      <c r="G56" s="14" t="n"/>
    </row>
    <row r="57">
      <c r="A57" s="14" t="n"/>
      <c r="B57" s="15" t="n"/>
      <c r="C57" s="15" t="n"/>
      <c r="D57" s="14" t="n"/>
      <c r="E57" s="14" t="n"/>
      <c r="F57" s="14" t="n"/>
      <c r="G57" s="14" t="n"/>
    </row>
    <row r="58">
      <c r="A58" s="14" t="n"/>
      <c r="B58" s="15" t="n"/>
      <c r="C58" s="15" t="n"/>
      <c r="D58" s="14" t="n"/>
      <c r="E58" s="14" t="n"/>
      <c r="F58" s="14" t="n"/>
      <c r="G58" s="14" t="n"/>
    </row>
    <row r="59">
      <c r="A59" s="14" t="n"/>
      <c r="B59" s="15" t="n"/>
      <c r="C59" s="15" t="n"/>
      <c r="D59" s="14" t="n"/>
      <c r="E59" s="14" t="n"/>
      <c r="F59" s="14" t="n"/>
      <c r="G59" s="14" t="n"/>
    </row>
    <row r="60">
      <c r="A60" s="14" t="n"/>
      <c r="B60" s="15" t="n"/>
      <c r="C60" s="15" t="n"/>
      <c r="D60" s="14" t="n"/>
      <c r="E60" s="14" t="n"/>
      <c r="F60" s="14" t="n"/>
      <c r="G60" s="14" t="n"/>
    </row>
    <row r="61">
      <c r="A61" s="14" t="n"/>
      <c r="B61" s="15" t="n"/>
      <c r="C61" s="15" t="n"/>
      <c r="D61" s="14" t="n"/>
      <c r="E61" s="14" t="n"/>
      <c r="F61" s="14" t="n"/>
      <c r="G61" s="14" t="n"/>
    </row>
  </sheetData>
  <conditionalFormatting sqref="E2:E61">
    <cfRule type="expression" priority="1" dxfId="1">
      <formula>AND(E2&lt;&gt;"",D2="Yes")</formula>
    </cfRule>
  </conditionalFormatting>
  <dataValidations count="2">
    <dataValidation sqref="D2:D61" showDropDown="0" showInputMessage="0" showErrorMessage="0" allowBlank="1" type="list">
      <formula1>"Invited,Yes,No,Maybe"</formula1>
    </dataValidation>
    <dataValidation sqref="B2:C61" showDropDown="0" showInputMessage="0" showErrorMessage="0" allowBlank="1" type="whole" operator="between">
      <formula1>0</formula1>
      <formula2>50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0" customWidth="1" min="4" max="4"/>
    <col width="10" customWidth="1" min="5" max="5"/>
    <col width="11" customWidth="1" min="6" max="6"/>
    <col width="17" customWidth="1" min="7" max="7"/>
    <col width="17" customWidth="1" min="8" max="8"/>
    <col width="9" customWidth="1" min="9" max="9"/>
    <col width="36" customWidth="1" min="10" max="10"/>
  </cols>
  <sheetData>
    <row r="1" ht="32" customHeight="1">
      <c r="A1" s="13" t="inlineStr">
        <is>
          <t>Dish</t>
        </is>
      </c>
      <c r="B1" s="13" t="inlineStr">
        <is>
          <t>Made by</t>
        </is>
      </c>
      <c r="C1" s="13" t="inlineStr">
        <is>
          <t>Where</t>
        </is>
      </c>
      <c r="D1" s="13" t="inlineStr">
        <is>
          <t>Oven temp</t>
        </is>
      </c>
      <c r="E1" s="13" t="inlineStr">
        <is>
          <t>Cook minutes</t>
        </is>
      </c>
      <c r="F1" s="13" t="inlineStr">
        <is>
          <t>Rest / hold minutes</t>
        </is>
      </c>
      <c r="G1" s="13" t="inlineStr">
        <is>
          <t>Start</t>
        </is>
      </c>
      <c r="H1" s="13" t="inlineStr">
        <is>
          <t>Done</t>
        </is>
      </c>
      <c r="I1" s="13" t="inlineStr">
        <is>
          <t>Oven clash</t>
        </is>
      </c>
      <c r="J1" s="13" t="inlineStr">
        <is>
          <t>Notes</t>
        </is>
      </c>
    </row>
    <row r="2">
      <c r="A2" s="14" t="inlineStr">
        <is>
          <t>Example: Turkey 16 lb (use your table)</t>
        </is>
      </c>
      <c r="B2" s="14" t="inlineStr">
        <is>
          <t>Me</t>
        </is>
      </c>
      <c r="C2" s="14" t="inlineStr">
        <is>
          <t>Oven</t>
        </is>
      </c>
      <c r="D2" s="15" t="n">
        <v>325</v>
      </c>
      <c r="E2" s="15" t="n">
        <v>255</v>
      </c>
      <c r="F2" s="15" t="n">
        <v>20</v>
      </c>
      <c r="G2" s="11">
        <f>IF(OR(A2="",E2=""),"",Summary!$B$2-(E2+F2)/1440)</f>
        <v/>
      </c>
      <c r="H2" s="11">
        <f>IF(OR(A2="",E2=""),"",Summary!$B$2-F2/1440)</f>
        <v/>
      </c>
      <c r="I2" s="10">
        <f>IF(OR(C2&lt;&gt;"Oven",G2=""),"",SUMPRODUCT((Menu!$C$2:$C$41="Oven")*(Menu!$E$2:$E$41&lt;&gt;"")*(Menu!$A$2:$A$41&lt;&gt;"")*(Menu!$D$2:$D$41&lt;&gt;D2)*(Menu!$G$2:$G$41&lt;H2)*(Menu!$H$2:$H$41&gt;G2)))</f>
        <v/>
      </c>
      <c r="J2" s="14" t="inlineStr">
        <is>
          <t>Check 165 F with a thermometer</t>
        </is>
      </c>
    </row>
    <row r="3">
      <c r="A3" s="14" t="inlineStr">
        <is>
          <t>Example: Stuffing, baked in a dish</t>
        </is>
      </c>
      <c r="B3" s="14" t="inlineStr">
        <is>
          <t>Me</t>
        </is>
      </c>
      <c r="C3" s="14" t="inlineStr">
        <is>
          <t>Oven</t>
        </is>
      </c>
      <c r="D3" s="15" t="n">
        <v>350</v>
      </c>
      <c r="E3" s="15" t="n">
        <v>45</v>
      </c>
      <c r="F3" s="15" t="n">
        <v>0</v>
      </c>
      <c r="G3" s="11">
        <f>IF(OR(A3="",E3=""),"",Summary!$B$2-(E3+F3)/1440)</f>
        <v/>
      </c>
      <c r="H3" s="11">
        <f>IF(OR(A3="",E3=""),"",Summary!$B$2-F3/1440)</f>
        <v/>
      </c>
      <c r="I3" s="10">
        <f>IF(OR(C3&lt;&gt;"Oven",G3=""),"",SUMPRODUCT((Menu!$C$2:$C$41="Oven")*(Menu!$E$2:$E$41&lt;&gt;"")*(Menu!$A$2:$A$41&lt;&gt;"")*(Menu!$D$2:$D$41&lt;&gt;D3)*(Menu!$G$2:$G$41&lt;H3)*(Menu!$H$2:$H$41&gt;G3)))</f>
        <v/>
      </c>
      <c r="J3" s="14" t="inlineStr">
        <is>
          <t>Clash: bake it while the turkey rests?</t>
        </is>
      </c>
    </row>
    <row r="4">
      <c r="A4" s="14" t="inlineStr">
        <is>
          <t>Example: Green bean casserole</t>
        </is>
      </c>
      <c r="B4" s="14" t="inlineStr">
        <is>
          <t>Sam &amp; Alex</t>
        </is>
      </c>
      <c r="C4" s="14" t="inlineStr">
        <is>
          <t>Oven</t>
        </is>
      </c>
      <c r="D4" s="15" t="n">
        <v>350</v>
      </c>
      <c r="E4" s="15" t="n">
        <v>30</v>
      </c>
      <c r="F4" s="15" t="n">
        <v>0</v>
      </c>
      <c r="G4" s="11">
        <f>IF(OR(A4="",E4=""),"",Summary!$B$2-(E4+F4)/1440)</f>
        <v/>
      </c>
      <c r="H4" s="11">
        <f>IF(OR(A4="",E4=""),"",Summary!$B$2-F4/1440)</f>
        <v/>
      </c>
      <c r="I4" s="10">
        <f>IF(OR(C4&lt;&gt;"Oven",G4=""),"",SUMPRODUCT((Menu!$C$2:$C$41="Oven")*(Menu!$E$2:$E$41&lt;&gt;"")*(Menu!$A$2:$A$41&lt;&gt;"")*(Menu!$D$2:$D$41&lt;&gt;D4)*(Menu!$G$2:$G$41&lt;H4)*(Menu!$H$2:$H$41&gt;G4)))</f>
        <v/>
      </c>
      <c r="J4" s="14" t="inlineStr">
        <is>
          <t>Reheat only</t>
        </is>
      </c>
    </row>
    <row r="5">
      <c r="A5" s="14" t="inlineStr">
        <is>
          <t>Example: Mashed potatoes</t>
        </is>
      </c>
      <c r="B5" s="14" t="inlineStr">
        <is>
          <t>Me</t>
        </is>
      </c>
      <c r="C5" s="14" t="inlineStr">
        <is>
          <t>Stovetop</t>
        </is>
      </c>
      <c r="D5" s="15" t="n"/>
      <c r="E5" s="15" t="n">
        <v>40</v>
      </c>
      <c r="F5" s="15" t="n">
        <v>0</v>
      </c>
      <c r="G5" s="11">
        <f>IF(OR(A5="",E5=""),"",Summary!$B$2-(E5+F5)/1440)</f>
        <v/>
      </c>
      <c r="H5" s="11">
        <f>IF(OR(A5="",E5=""),"",Summary!$B$2-F5/1440)</f>
        <v/>
      </c>
      <c r="I5" s="10">
        <f>IF(OR(C5&lt;&gt;"Oven",G5=""),"",SUMPRODUCT((Menu!$C$2:$C$41="Oven")*(Menu!$E$2:$E$41&lt;&gt;"")*(Menu!$A$2:$A$41&lt;&gt;"")*(Menu!$D$2:$D$41&lt;&gt;D5)*(Menu!$G$2:$G$41&lt;H5)*(Menu!$H$2:$H$41&gt;G5)))</f>
        <v/>
      </c>
      <c r="J5" s="14" t="n"/>
    </row>
    <row r="6">
      <c r="A6" s="14" t="inlineStr">
        <is>
          <t>Example: Rolls</t>
        </is>
      </c>
      <c r="B6" s="14" t="inlineStr">
        <is>
          <t>Me</t>
        </is>
      </c>
      <c r="C6" s="14" t="inlineStr">
        <is>
          <t>Oven</t>
        </is>
      </c>
      <c r="D6" s="15" t="n">
        <v>350</v>
      </c>
      <c r="E6" s="15" t="n">
        <v>15</v>
      </c>
      <c r="F6" s="15" t="n">
        <v>5</v>
      </c>
      <c r="G6" s="11">
        <f>IF(OR(A6="",E6=""),"",Summary!$B$2-(E6+F6)/1440)</f>
        <v/>
      </c>
      <c r="H6" s="11">
        <f>IF(OR(A6="",E6=""),"",Summary!$B$2-F6/1440)</f>
        <v/>
      </c>
      <c r="I6" s="10">
        <f>IF(OR(C6&lt;&gt;"Oven",G6=""),"",SUMPRODUCT((Menu!$C$2:$C$41="Oven")*(Menu!$E$2:$E$41&lt;&gt;"")*(Menu!$A$2:$A$41&lt;&gt;"")*(Menu!$D$2:$D$41&lt;&gt;D6)*(Menu!$G$2:$G$41&lt;H6)*(Menu!$H$2:$H$41&gt;G6)))</f>
        <v/>
      </c>
      <c r="J6" s="14" t="n"/>
    </row>
    <row r="7">
      <c r="A7" s="14" t="inlineStr">
        <is>
          <t>Example: Cranberry sauce</t>
        </is>
      </c>
      <c r="B7" s="14" t="inlineStr">
        <is>
          <t>Me</t>
        </is>
      </c>
      <c r="C7" s="14" t="inlineStr">
        <is>
          <t>Make-ahead</t>
        </is>
      </c>
      <c r="D7" s="15" t="n"/>
      <c r="E7" s="15" t="n"/>
      <c r="F7" s="15" t="n"/>
      <c r="G7" s="11">
        <f>IF(OR(A7="",E7=""),"",Summary!$B$2-(E7+F7)/1440)</f>
        <v/>
      </c>
      <c r="H7" s="11">
        <f>IF(OR(A7="",E7=""),"",Summary!$B$2-F7/1440)</f>
        <v/>
      </c>
      <c r="I7" s="10">
        <f>IF(OR(C7&lt;&gt;"Oven",G7=""),"",SUMPRODUCT((Menu!$C$2:$C$41="Oven")*(Menu!$E$2:$E$41&lt;&gt;"")*(Menu!$A$2:$A$41&lt;&gt;"")*(Menu!$D$2:$D$41&lt;&gt;D7)*(Menu!$G$2:$G$41&lt;H7)*(Menu!$H$2:$H$41&gt;G7)))</f>
        <v/>
      </c>
      <c r="J7" s="14" t="inlineStr">
        <is>
          <t>Day before</t>
        </is>
      </c>
    </row>
    <row r="8">
      <c r="A8" s="14" t="inlineStr">
        <is>
          <t>Example: Pumpkin pie</t>
        </is>
      </c>
      <c r="B8" s="14" t="inlineStr">
        <is>
          <t>Grandparents</t>
        </is>
      </c>
      <c r="C8" s="14" t="inlineStr">
        <is>
          <t>Make-ahead</t>
        </is>
      </c>
      <c r="D8" s="15" t="n"/>
      <c r="E8" s="15" t="n"/>
      <c r="F8" s="15" t="n"/>
      <c r="G8" s="11">
        <f>IF(OR(A8="",E8=""),"",Summary!$B$2-(E8+F8)/1440)</f>
        <v/>
      </c>
      <c r="H8" s="11">
        <f>IF(OR(A8="",E8=""),"",Summary!$B$2-F8/1440)</f>
        <v/>
      </c>
      <c r="I8" s="10">
        <f>IF(OR(C8&lt;&gt;"Oven",G8=""),"",SUMPRODUCT((Menu!$C$2:$C$41="Oven")*(Menu!$E$2:$E$41&lt;&gt;"")*(Menu!$A$2:$A$41&lt;&gt;"")*(Menu!$D$2:$D$41&lt;&gt;D8)*(Menu!$G$2:$G$41&lt;H8)*(Menu!$H$2:$H$41&gt;G8)))</f>
        <v/>
      </c>
      <c r="J8" s="14" t="n"/>
    </row>
    <row r="9">
      <c r="A9" s="14" t="n"/>
      <c r="B9" s="14" t="n"/>
      <c r="C9" s="14" t="n"/>
      <c r="D9" s="15" t="n"/>
      <c r="E9" s="15" t="n"/>
      <c r="F9" s="15" t="n"/>
      <c r="G9" s="11">
        <f>IF(OR(A9="",E9=""),"",Summary!$B$2-(E9+F9)/1440)</f>
        <v/>
      </c>
      <c r="H9" s="11">
        <f>IF(OR(A9="",E9=""),"",Summary!$B$2-F9/1440)</f>
        <v/>
      </c>
      <c r="I9" s="10">
        <f>IF(OR(C9&lt;&gt;"Oven",G9=""),"",SUMPRODUCT((Menu!$C$2:$C$41="Oven")*(Menu!$E$2:$E$41&lt;&gt;"")*(Menu!$A$2:$A$41&lt;&gt;"")*(Menu!$D$2:$D$41&lt;&gt;D9)*(Menu!$G$2:$G$41&lt;H9)*(Menu!$H$2:$H$41&gt;G9)))</f>
        <v/>
      </c>
      <c r="J9" s="14" t="n"/>
    </row>
    <row r="10">
      <c r="A10" s="14" t="n"/>
      <c r="B10" s="14" t="n"/>
      <c r="C10" s="14" t="n"/>
      <c r="D10" s="15" t="n"/>
      <c r="E10" s="15" t="n"/>
      <c r="F10" s="15" t="n"/>
      <c r="G10" s="11">
        <f>IF(OR(A10="",E10=""),"",Summary!$B$2-(E10+F10)/1440)</f>
        <v/>
      </c>
      <c r="H10" s="11">
        <f>IF(OR(A10="",E10=""),"",Summary!$B$2-F10/1440)</f>
        <v/>
      </c>
      <c r="I10" s="10">
        <f>IF(OR(C10&lt;&gt;"Oven",G10=""),"",SUMPRODUCT((Menu!$C$2:$C$41="Oven")*(Menu!$E$2:$E$41&lt;&gt;"")*(Menu!$A$2:$A$41&lt;&gt;"")*(Menu!$D$2:$D$41&lt;&gt;D10)*(Menu!$G$2:$G$41&lt;H10)*(Menu!$H$2:$H$41&gt;G10)))</f>
        <v/>
      </c>
      <c r="J10" s="14" t="n"/>
    </row>
    <row r="11">
      <c r="A11" s="14" t="n"/>
      <c r="B11" s="14" t="n"/>
      <c r="C11" s="14" t="n"/>
      <c r="D11" s="15" t="n"/>
      <c r="E11" s="15" t="n"/>
      <c r="F11" s="15" t="n"/>
      <c r="G11" s="11">
        <f>IF(OR(A11="",E11=""),"",Summary!$B$2-(E11+F11)/1440)</f>
        <v/>
      </c>
      <c r="H11" s="11">
        <f>IF(OR(A11="",E11=""),"",Summary!$B$2-F11/1440)</f>
        <v/>
      </c>
      <c r="I11" s="10">
        <f>IF(OR(C11&lt;&gt;"Oven",G11=""),"",SUMPRODUCT((Menu!$C$2:$C$41="Oven")*(Menu!$E$2:$E$41&lt;&gt;"")*(Menu!$A$2:$A$41&lt;&gt;"")*(Menu!$D$2:$D$41&lt;&gt;D11)*(Menu!$G$2:$G$41&lt;H11)*(Menu!$H$2:$H$41&gt;G11)))</f>
        <v/>
      </c>
      <c r="J11" s="14" t="n"/>
    </row>
    <row r="12">
      <c r="A12" s="14" t="n"/>
      <c r="B12" s="14" t="n"/>
      <c r="C12" s="14" t="n"/>
      <c r="D12" s="15" t="n"/>
      <c r="E12" s="15" t="n"/>
      <c r="F12" s="15" t="n"/>
      <c r="G12" s="11">
        <f>IF(OR(A12="",E12=""),"",Summary!$B$2-(E12+F12)/1440)</f>
        <v/>
      </c>
      <c r="H12" s="11">
        <f>IF(OR(A12="",E12=""),"",Summary!$B$2-F12/1440)</f>
        <v/>
      </c>
      <c r="I12" s="10">
        <f>IF(OR(C12&lt;&gt;"Oven",G12=""),"",SUMPRODUCT((Menu!$C$2:$C$41="Oven")*(Menu!$E$2:$E$41&lt;&gt;"")*(Menu!$A$2:$A$41&lt;&gt;"")*(Menu!$D$2:$D$41&lt;&gt;D12)*(Menu!$G$2:$G$41&lt;H12)*(Menu!$H$2:$H$41&gt;G12)))</f>
        <v/>
      </c>
      <c r="J12" s="14" t="n"/>
    </row>
    <row r="13">
      <c r="A13" s="14" t="n"/>
      <c r="B13" s="14" t="n"/>
      <c r="C13" s="14" t="n"/>
      <c r="D13" s="15" t="n"/>
      <c r="E13" s="15" t="n"/>
      <c r="F13" s="15" t="n"/>
      <c r="G13" s="11">
        <f>IF(OR(A13="",E13=""),"",Summary!$B$2-(E13+F13)/1440)</f>
        <v/>
      </c>
      <c r="H13" s="11">
        <f>IF(OR(A13="",E13=""),"",Summary!$B$2-F13/1440)</f>
        <v/>
      </c>
      <c r="I13" s="10">
        <f>IF(OR(C13&lt;&gt;"Oven",G13=""),"",SUMPRODUCT((Menu!$C$2:$C$41="Oven")*(Menu!$E$2:$E$41&lt;&gt;"")*(Menu!$A$2:$A$41&lt;&gt;"")*(Menu!$D$2:$D$41&lt;&gt;D13)*(Menu!$G$2:$G$41&lt;H13)*(Menu!$H$2:$H$41&gt;G13)))</f>
        <v/>
      </c>
      <c r="J13" s="14" t="n"/>
    </row>
    <row r="14">
      <c r="A14" s="14" t="n"/>
      <c r="B14" s="14" t="n"/>
      <c r="C14" s="14" t="n"/>
      <c r="D14" s="15" t="n"/>
      <c r="E14" s="15" t="n"/>
      <c r="F14" s="15" t="n"/>
      <c r="G14" s="11">
        <f>IF(OR(A14="",E14=""),"",Summary!$B$2-(E14+F14)/1440)</f>
        <v/>
      </c>
      <c r="H14" s="11">
        <f>IF(OR(A14="",E14=""),"",Summary!$B$2-F14/1440)</f>
        <v/>
      </c>
      <c r="I14" s="10">
        <f>IF(OR(C14&lt;&gt;"Oven",G14=""),"",SUMPRODUCT((Menu!$C$2:$C$41="Oven")*(Menu!$E$2:$E$41&lt;&gt;"")*(Menu!$A$2:$A$41&lt;&gt;"")*(Menu!$D$2:$D$41&lt;&gt;D14)*(Menu!$G$2:$G$41&lt;H14)*(Menu!$H$2:$H$41&gt;G14)))</f>
        <v/>
      </c>
      <c r="J14" s="14" t="n"/>
    </row>
    <row r="15">
      <c r="A15" s="14" t="n"/>
      <c r="B15" s="14" t="n"/>
      <c r="C15" s="14" t="n"/>
      <c r="D15" s="15" t="n"/>
      <c r="E15" s="15" t="n"/>
      <c r="F15" s="15" t="n"/>
      <c r="G15" s="11">
        <f>IF(OR(A15="",E15=""),"",Summary!$B$2-(E15+F15)/1440)</f>
        <v/>
      </c>
      <c r="H15" s="11">
        <f>IF(OR(A15="",E15=""),"",Summary!$B$2-F15/1440)</f>
        <v/>
      </c>
      <c r="I15" s="10">
        <f>IF(OR(C15&lt;&gt;"Oven",G15=""),"",SUMPRODUCT((Menu!$C$2:$C$41="Oven")*(Menu!$E$2:$E$41&lt;&gt;"")*(Menu!$A$2:$A$41&lt;&gt;"")*(Menu!$D$2:$D$41&lt;&gt;D15)*(Menu!$G$2:$G$41&lt;H15)*(Menu!$H$2:$H$41&gt;G15)))</f>
        <v/>
      </c>
      <c r="J15" s="14" t="n"/>
    </row>
    <row r="16">
      <c r="A16" s="14" t="n"/>
      <c r="B16" s="14" t="n"/>
      <c r="C16" s="14" t="n"/>
      <c r="D16" s="15" t="n"/>
      <c r="E16" s="15" t="n"/>
      <c r="F16" s="15" t="n"/>
      <c r="G16" s="11">
        <f>IF(OR(A16="",E16=""),"",Summary!$B$2-(E16+F16)/1440)</f>
        <v/>
      </c>
      <c r="H16" s="11">
        <f>IF(OR(A16="",E16=""),"",Summary!$B$2-F16/1440)</f>
        <v/>
      </c>
      <c r="I16" s="10">
        <f>IF(OR(C16&lt;&gt;"Oven",G16=""),"",SUMPRODUCT((Menu!$C$2:$C$41="Oven")*(Menu!$E$2:$E$41&lt;&gt;"")*(Menu!$A$2:$A$41&lt;&gt;"")*(Menu!$D$2:$D$41&lt;&gt;D16)*(Menu!$G$2:$G$41&lt;H16)*(Menu!$H$2:$H$41&gt;G16)))</f>
        <v/>
      </c>
      <c r="J16" s="14" t="n"/>
    </row>
    <row r="17">
      <c r="A17" s="14" t="n"/>
      <c r="B17" s="14" t="n"/>
      <c r="C17" s="14" t="n"/>
      <c r="D17" s="15" t="n"/>
      <c r="E17" s="15" t="n"/>
      <c r="F17" s="15" t="n"/>
      <c r="G17" s="11">
        <f>IF(OR(A17="",E17=""),"",Summary!$B$2-(E17+F17)/1440)</f>
        <v/>
      </c>
      <c r="H17" s="11">
        <f>IF(OR(A17="",E17=""),"",Summary!$B$2-F17/1440)</f>
        <v/>
      </c>
      <c r="I17" s="10">
        <f>IF(OR(C17&lt;&gt;"Oven",G17=""),"",SUMPRODUCT((Menu!$C$2:$C$41="Oven")*(Menu!$E$2:$E$41&lt;&gt;"")*(Menu!$A$2:$A$41&lt;&gt;"")*(Menu!$D$2:$D$41&lt;&gt;D17)*(Menu!$G$2:$G$41&lt;H17)*(Menu!$H$2:$H$41&gt;G17)))</f>
        <v/>
      </c>
      <c r="J17" s="14" t="n"/>
    </row>
    <row r="18">
      <c r="A18" s="14" t="n"/>
      <c r="B18" s="14" t="n"/>
      <c r="C18" s="14" t="n"/>
      <c r="D18" s="15" t="n"/>
      <c r="E18" s="15" t="n"/>
      <c r="F18" s="15" t="n"/>
      <c r="G18" s="11">
        <f>IF(OR(A18="",E18=""),"",Summary!$B$2-(E18+F18)/1440)</f>
        <v/>
      </c>
      <c r="H18" s="11">
        <f>IF(OR(A18="",E18=""),"",Summary!$B$2-F18/1440)</f>
        <v/>
      </c>
      <c r="I18" s="10">
        <f>IF(OR(C18&lt;&gt;"Oven",G18=""),"",SUMPRODUCT((Menu!$C$2:$C$41="Oven")*(Menu!$E$2:$E$41&lt;&gt;"")*(Menu!$A$2:$A$41&lt;&gt;"")*(Menu!$D$2:$D$41&lt;&gt;D18)*(Menu!$G$2:$G$41&lt;H18)*(Menu!$H$2:$H$41&gt;G18)))</f>
        <v/>
      </c>
      <c r="J18" s="14" t="n"/>
    </row>
    <row r="19">
      <c r="A19" s="14" t="n"/>
      <c r="B19" s="14" t="n"/>
      <c r="C19" s="14" t="n"/>
      <c r="D19" s="15" t="n"/>
      <c r="E19" s="15" t="n"/>
      <c r="F19" s="15" t="n"/>
      <c r="G19" s="11">
        <f>IF(OR(A19="",E19=""),"",Summary!$B$2-(E19+F19)/1440)</f>
        <v/>
      </c>
      <c r="H19" s="11">
        <f>IF(OR(A19="",E19=""),"",Summary!$B$2-F19/1440)</f>
        <v/>
      </c>
      <c r="I19" s="10">
        <f>IF(OR(C19&lt;&gt;"Oven",G19=""),"",SUMPRODUCT((Menu!$C$2:$C$41="Oven")*(Menu!$E$2:$E$41&lt;&gt;"")*(Menu!$A$2:$A$41&lt;&gt;"")*(Menu!$D$2:$D$41&lt;&gt;D19)*(Menu!$G$2:$G$41&lt;H19)*(Menu!$H$2:$H$41&gt;G19)))</f>
        <v/>
      </c>
      <c r="J19" s="14" t="n"/>
    </row>
    <row r="20">
      <c r="A20" s="14" t="n"/>
      <c r="B20" s="14" t="n"/>
      <c r="C20" s="14" t="n"/>
      <c r="D20" s="15" t="n"/>
      <c r="E20" s="15" t="n"/>
      <c r="F20" s="15" t="n"/>
      <c r="G20" s="11">
        <f>IF(OR(A20="",E20=""),"",Summary!$B$2-(E20+F20)/1440)</f>
        <v/>
      </c>
      <c r="H20" s="11">
        <f>IF(OR(A20="",E20=""),"",Summary!$B$2-F20/1440)</f>
        <v/>
      </c>
      <c r="I20" s="10">
        <f>IF(OR(C20&lt;&gt;"Oven",G20=""),"",SUMPRODUCT((Menu!$C$2:$C$41="Oven")*(Menu!$E$2:$E$41&lt;&gt;"")*(Menu!$A$2:$A$41&lt;&gt;"")*(Menu!$D$2:$D$41&lt;&gt;D20)*(Menu!$G$2:$G$41&lt;H20)*(Menu!$H$2:$H$41&gt;G20)))</f>
        <v/>
      </c>
      <c r="J20" s="14" t="n"/>
    </row>
    <row r="21">
      <c r="A21" s="14" t="n"/>
      <c r="B21" s="14" t="n"/>
      <c r="C21" s="14" t="n"/>
      <c r="D21" s="15" t="n"/>
      <c r="E21" s="15" t="n"/>
      <c r="F21" s="15" t="n"/>
      <c r="G21" s="11">
        <f>IF(OR(A21="",E21=""),"",Summary!$B$2-(E21+F21)/1440)</f>
        <v/>
      </c>
      <c r="H21" s="11">
        <f>IF(OR(A21="",E21=""),"",Summary!$B$2-F21/1440)</f>
        <v/>
      </c>
      <c r="I21" s="10">
        <f>IF(OR(C21&lt;&gt;"Oven",G21=""),"",SUMPRODUCT((Menu!$C$2:$C$41="Oven")*(Menu!$E$2:$E$41&lt;&gt;"")*(Menu!$A$2:$A$41&lt;&gt;"")*(Menu!$D$2:$D$41&lt;&gt;D21)*(Menu!$G$2:$G$41&lt;H21)*(Menu!$H$2:$H$41&gt;G21)))</f>
        <v/>
      </c>
      <c r="J21" s="14" t="n"/>
    </row>
    <row r="22">
      <c r="A22" s="14" t="n"/>
      <c r="B22" s="14" t="n"/>
      <c r="C22" s="14" t="n"/>
      <c r="D22" s="15" t="n"/>
      <c r="E22" s="15" t="n"/>
      <c r="F22" s="15" t="n"/>
      <c r="G22" s="11">
        <f>IF(OR(A22="",E22=""),"",Summary!$B$2-(E22+F22)/1440)</f>
        <v/>
      </c>
      <c r="H22" s="11">
        <f>IF(OR(A22="",E22=""),"",Summary!$B$2-F22/1440)</f>
        <v/>
      </c>
      <c r="I22" s="10">
        <f>IF(OR(C22&lt;&gt;"Oven",G22=""),"",SUMPRODUCT((Menu!$C$2:$C$41="Oven")*(Menu!$E$2:$E$41&lt;&gt;"")*(Menu!$A$2:$A$41&lt;&gt;"")*(Menu!$D$2:$D$41&lt;&gt;D22)*(Menu!$G$2:$G$41&lt;H22)*(Menu!$H$2:$H$41&gt;G22)))</f>
        <v/>
      </c>
      <c r="J22" s="14" t="n"/>
    </row>
    <row r="23">
      <c r="A23" s="14" t="n"/>
      <c r="B23" s="14" t="n"/>
      <c r="C23" s="14" t="n"/>
      <c r="D23" s="15" t="n"/>
      <c r="E23" s="15" t="n"/>
      <c r="F23" s="15" t="n"/>
      <c r="G23" s="11">
        <f>IF(OR(A23="",E23=""),"",Summary!$B$2-(E23+F23)/1440)</f>
        <v/>
      </c>
      <c r="H23" s="11">
        <f>IF(OR(A23="",E23=""),"",Summary!$B$2-F23/1440)</f>
        <v/>
      </c>
      <c r="I23" s="10">
        <f>IF(OR(C23&lt;&gt;"Oven",G23=""),"",SUMPRODUCT((Menu!$C$2:$C$41="Oven")*(Menu!$E$2:$E$41&lt;&gt;"")*(Menu!$A$2:$A$41&lt;&gt;"")*(Menu!$D$2:$D$41&lt;&gt;D23)*(Menu!$G$2:$G$41&lt;H23)*(Menu!$H$2:$H$41&gt;G23)))</f>
        <v/>
      </c>
      <c r="J23" s="14" t="n"/>
    </row>
    <row r="24">
      <c r="A24" s="14" t="n"/>
      <c r="B24" s="14" t="n"/>
      <c r="C24" s="14" t="n"/>
      <c r="D24" s="15" t="n"/>
      <c r="E24" s="15" t="n"/>
      <c r="F24" s="15" t="n"/>
      <c r="G24" s="11">
        <f>IF(OR(A24="",E24=""),"",Summary!$B$2-(E24+F24)/1440)</f>
        <v/>
      </c>
      <c r="H24" s="11">
        <f>IF(OR(A24="",E24=""),"",Summary!$B$2-F24/1440)</f>
        <v/>
      </c>
      <c r="I24" s="10">
        <f>IF(OR(C24&lt;&gt;"Oven",G24=""),"",SUMPRODUCT((Menu!$C$2:$C$41="Oven")*(Menu!$E$2:$E$41&lt;&gt;"")*(Menu!$A$2:$A$41&lt;&gt;"")*(Menu!$D$2:$D$41&lt;&gt;D24)*(Menu!$G$2:$G$41&lt;H24)*(Menu!$H$2:$H$41&gt;G24)))</f>
        <v/>
      </c>
      <c r="J24" s="14" t="n"/>
    </row>
    <row r="25">
      <c r="A25" s="14" t="n"/>
      <c r="B25" s="14" t="n"/>
      <c r="C25" s="14" t="n"/>
      <c r="D25" s="15" t="n"/>
      <c r="E25" s="15" t="n"/>
      <c r="F25" s="15" t="n"/>
      <c r="G25" s="11">
        <f>IF(OR(A25="",E25=""),"",Summary!$B$2-(E25+F25)/1440)</f>
        <v/>
      </c>
      <c r="H25" s="11">
        <f>IF(OR(A25="",E25=""),"",Summary!$B$2-F25/1440)</f>
        <v/>
      </c>
      <c r="I25" s="10">
        <f>IF(OR(C25&lt;&gt;"Oven",G25=""),"",SUMPRODUCT((Menu!$C$2:$C$41="Oven")*(Menu!$E$2:$E$41&lt;&gt;"")*(Menu!$A$2:$A$41&lt;&gt;"")*(Menu!$D$2:$D$41&lt;&gt;D25)*(Menu!$G$2:$G$41&lt;H25)*(Menu!$H$2:$H$41&gt;G25)))</f>
        <v/>
      </c>
      <c r="J25" s="14" t="n"/>
    </row>
    <row r="26">
      <c r="A26" s="14" t="n"/>
      <c r="B26" s="14" t="n"/>
      <c r="C26" s="14" t="n"/>
      <c r="D26" s="15" t="n"/>
      <c r="E26" s="15" t="n"/>
      <c r="F26" s="15" t="n"/>
      <c r="G26" s="11">
        <f>IF(OR(A26="",E26=""),"",Summary!$B$2-(E26+F26)/1440)</f>
        <v/>
      </c>
      <c r="H26" s="11">
        <f>IF(OR(A26="",E26=""),"",Summary!$B$2-F26/1440)</f>
        <v/>
      </c>
      <c r="I26" s="10">
        <f>IF(OR(C26&lt;&gt;"Oven",G26=""),"",SUMPRODUCT((Menu!$C$2:$C$41="Oven")*(Menu!$E$2:$E$41&lt;&gt;"")*(Menu!$A$2:$A$41&lt;&gt;"")*(Menu!$D$2:$D$41&lt;&gt;D26)*(Menu!$G$2:$G$41&lt;H26)*(Menu!$H$2:$H$41&gt;G26)))</f>
        <v/>
      </c>
      <c r="J26" s="14" t="n"/>
    </row>
    <row r="27">
      <c r="A27" s="14" t="n"/>
      <c r="B27" s="14" t="n"/>
      <c r="C27" s="14" t="n"/>
      <c r="D27" s="15" t="n"/>
      <c r="E27" s="15" t="n"/>
      <c r="F27" s="15" t="n"/>
      <c r="G27" s="11">
        <f>IF(OR(A27="",E27=""),"",Summary!$B$2-(E27+F27)/1440)</f>
        <v/>
      </c>
      <c r="H27" s="11">
        <f>IF(OR(A27="",E27=""),"",Summary!$B$2-F27/1440)</f>
        <v/>
      </c>
      <c r="I27" s="10">
        <f>IF(OR(C27&lt;&gt;"Oven",G27=""),"",SUMPRODUCT((Menu!$C$2:$C$41="Oven")*(Menu!$E$2:$E$41&lt;&gt;"")*(Menu!$A$2:$A$41&lt;&gt;"")*(Menu!$D$2:$D$41&lt;&gt;D27)*(Menu!$G$2:$G$41&lt;H27)*(Menu!$H$2:$H$41&gt;G27)))</f>
        <v/>
      </c>
      <c r="J27" s="14" t="n"/>
    </row>
    <row r="28">
      <c r="A28" s="14" t="n"/>
      <c r="B28" s="14" t="n"/>
      <c r="C28" s="14" t="n"/>
      <c r="D28" s="15" t="n"/>
      <c r="E28" s="15" t="n"/>
      <c r="F28" s="15" t="n"/>
      <c r="G28" s="11">
        <f>IF(OR(A28="",E28=""),"",Summary!$B$2-(E28+F28)/1440)</f>
        <v/>
      </c>
      <c r="H28" s="11">
        <f>IF(OR(A28="",E28=""),"",Summary!$B$2-F28/1440)</f>
        <v/>
      </c>
      <c r="I28" s="10">
        <f>IF(OR(C28&lt;&gt;"Oven",G28=""),"",SUMPRODUCT((Menu!$C$2:$C$41="Oven")*(Menu!$E$2:$E$41&lt;&gt;"")*(Menu!$A$2:$A$41&lt;&gt;"")*(Menu!$D$2:$D$41&lt;&gt;D28)*(Menu!$G$2:$G$41&lt;H28)*(Menu!$H$2:$H$41&gt;G28)))</f>
        <v/>
      </c>
      <c r="J28" s="14" t="n"/>
    </row>
    <row r="29">
      <c r="A29" s="14" t="n"/>
      <c r="B29" s="14" t="n"/>
      <c r="C29" s="14" t="n"/>
      <c r="D29" s="15" t="n"/>
      <c r="E29" s="15" t="n"/>
      <c r="F29" s="15" t="n"/>
      <c r="G29" s="11">
        <f>IF(OR(A29="",E29=""),"",Summary!$B$2-(E29+F29)/1440)</f>
        <v/>
      </c>
      <c r="H29" s="11">
        <f>IF(OR(A29="",E29=""),"",Summary!$B$2-F29/1440)</f>
        <v/>
      </c>
      <c r="I29" s="10">
        <f>IF(OR(C29&lt;&gt;"Oven",G29=""),"",SUMPRODUCT((Menu!$C$2:$C$41="Oven")*(Menu!$E$2:$E$41&lt;&gt;"")*(Menu!$A$2:$A$41&lt;&gt;"")*(Menu!$D$2:$D$41&lt;&gt;D29)*(Menu!$G$2:$G$41&lt;H29)*(Menu!$H$2:$H$41&gt;G29)))</f>
        <v/>
      </c>
      <c r="J29" s="14" t="n"/>
    </row>
    <row r="30">
      <c r="A30" s="14" t="n"/>
      <c r="B30" s="14" t="n"/>
      <c r="C30" s="14" t="n"/>
      <c r="D30" s="15" t="n"/>
      <c r="E30" s="15" t="n"/>
      <c r="F30" s="15" t="n"/>
      <c r="G30" s="11">
        <f>IF(OR(A30="",E30=""),"",Summary!$B$2-(E30+F30)/1440)</f>
        <v/>
      </c>
      <c r="H30" s="11">
        <f>IF(OR(A30="",E30=""),"",Summary!$B$2-F30/1440)</f>
        <v/>
      </c>
      <c r="I30" s="10">
        <f>IF(OR(C30&lt;&gt;"Oven",G30=""),"",SUMPRODUCT((Menu!$C$2:$C$41="Oven")*(Menu!$E$2:$E$41&lt;&gt;"")*(Menu!$A$2:$A$41&lt;&gt;"")*(Menu!$D$2:$D$41&lt;&gt;D30)*(Menu!$G$2:$G$41&lt;H30)*(Menu!$H$2:$H$41&gt;G30)))</f>
        <v/>
      </c>
      <c r="J30" s="14" t="n"/>
    </row>
    <row r="31">
      <c r="A31" s="14" t="n"/>
      <c r="B31" s="14" t="n"/>
      <c r="C31" s="14" t="n"/>
      <c r="D31" s="15" t="n"/>
      <c r="E31" s="15" t="n"/>
      <c r="F31" s="15" t="n"/>
      <c r="G31" s="11">
        <f>IF(OR(A31="",E31=""),"",Summary!$B$2-(E31+F31)/1440)</f>
        <v/>
      </c>
      <c r="H31" s="11">
        <f>IF(OR(A31="",E31=""),"",Summary!$B$2-F31/1440)</f>
        <v/>
      </c>
      <c r="I31" s="10">
        <f>IF(OR(C31&lt;&gt;"Oven",G31=""),"",SUMPRODUCT((Menu!$C$2:$C$41="Oven")*(Menu!$E$2:$E$41&lt;&gt;"")*(Menu!$A$2:$A$41&lt;&gt;"")*(Menu!$D$2:$D$41&lt;&gt;D31)*(Menu!$G$2:$G$41&lt;H31)*(Menu!$H$2:$H$41&gt;G31)))</f>
        <v/>
      </c>
      <c r="J31" s="14" t="n"/>
    </row>
    <row r="32">
      <c r="A32" s="14" t="n"/>
      <c r="B32" s="14" t="n"/>
      <c r="C32" s="14" t="n"/>
      <c r="D32" s="15" t="n"/>
      <c r="E32" s="15" t="n"/>
      <c r="F32" s="15" t="n"/>
      <c r="G32" s="11">
        <f>IF(OR(A32="",E32=""),"",Summary!$B$2-(E32+F32)/1440)</f>
        <v/>
      </c>
      <c r="H32" s="11">
        <f>IF(OR(A32="",E32=""),"",Summary!$B$2-F32/1440)</f>
        <v/>
      </c>
      <c r="I32" s="10">
        <f>IF(OR(C32&lt;&gt;"Oven",G32=""),"",SUMPRODUCT((Menu!$C$2:$C$41="Oven")*(Menu!$E$2:$E$41&lt;&gt;"")*(Menu!$A$2:$A$41&lt;&gt;"")*(Menu!$D$2:$D$41&lt;&gt;D32)*(Menu!$G$2:$G$41&lt;H32)*(Menu!$H$2:$H$41&gt;G32)))</f>
        <v/>
      </c>
      <c r="J32" s="14" t="n"/>
    </row>
    <row r="33">
      <c r="A33" s="14" t="n"/>
      <c r="B33" s="14" t="n"/>
      <c r="C33" s="14" t="n"/>
      <c r="D33" s="15" t="n"/>
      <c r="E33" s="15" t="n"/>
      <c r="F33" s="15" t="n"/>
      <c r="G33" s="11">
        <f>IF(OR(A33="",E33=""),"",Summary!$B$2-(E33+F33)/1440)</f>
        <v/>
      </c>
      <c r="H33" s="11">
        <f>IF(OR(A33="",E33=""),"",Summary!$B$2-F33/1440)</f>
        <v/>
      </c>
      <c r="I33" s="10">
        <f>IF(OR(C33&lt;&gt;"Oven",G33=""),"",SUMPRODUCT((Menu!$C$2:$C$41="Oven")*(Menu!$E$2:$E$41&lt;&gt;"")*(Menu!$A$2:$A$41&lt;&gt;"")*(Menu!$D$2:$D$41&lt;&gt;D33)*(Menu!$G$2:$G$41&lt;H33)*(Menu!$H$2:$H$41&gt;G33)))</f>
        <v/>
      </c>
      <c r="J33" s="14" t="n"/>
    </row>
    <row r="34">
      <c r="A34" s="14" t="n"/>
      <c r="B34" s="14" t="n"/>
      <c r="C34" s="14" t="n"/>
      <c r="D34" s="15" t="n"/>
      <c r="E34" s="15" t="n"/>
      <c r="F34" s="15" t="n"/>
      <c r="G34" s="11">
        <f>IF(OR(A34="",E34=""),"",Summary!$B$2-(E34+F34)/1440)</f>
        <v/>
      </c>
      <c r="H34" s="11">
        <f>IF(OR(A34="",E34=""),"",Summary!$B$2-F34/1440)</f>
        <v/>
      </c>
      <c r="I34" s="10">
        <f>IF(OR(C34&lt;&gt;"Oven",G34=""),"",SUMPRODUCT((Menu!$C$2:$C$41="Oven")*(Menu!$E$2:$E$41&lt;&gt;"")*(Menu!$A$2:$A$41&lt;&gt;"")*(Menu!$D$2:$D$41&lt;&gt;D34)*(Menu!$G$2:$G$41&lt;H34)*(Menu!$H$2:$H$41&gt;G34)))</f>
        <v/>
      </c>
      <c r="J34" s="14" t="n"/>
    </row>
    <row r="35">
      <c r="A35" s="14" t="n"/>
      <c r="B35" s="14" t="n"/>
      <c r="C35" s="14" t="n"/>
      <c r="D35" s="15" t="n"/>
      <c r="E35" s="15" t="n"/>
      <c r="F35" s="15" t="n"/>
      <c r="G35" s="11">
        <f>IF(OR(A35="",E35=""),"",Summary!$B$2-(E35+F35)/1440)</f>
        <v/>
      </c>
      <c r="H35" s="11">
        <f>IF(OR(A35="",E35=""),"",Summary!$B$2-F35/1440)</f>
        <v/>
      </c>
      <c r="I35" s="10">
        <f>IF(OR(C35&lt;&gt;"Oven",G35=""),"",SUMPRODUCT((Menu!$C$2:$C$41="Oven")*(Menu!$E$2:$E$41&lt;&gt;"")*(Menu!$A$2:$A$41&lt;&gt;"")*(Menu!$D$2:$D$41&lt;&gt;D35)*(Menu!$G$2:$G$41&lt;H35)*(Menu!$H$2:$H$41&gt;G35)))</f>
        <v/>
      </c>
      <c r="J35" s="14" t="n"/>
    </row>
    <row r="36">
      <c r="A36" s="14" t="n"/>
      <c r="B36" s="14" t="n"/>
      <c r="C36" s="14" t="n"/>
      <c r="D36" s="15" t="n"/>
      <c r="E36" s="15" t="n"/>
      <c r="F36" s="15" t="n"/>
      <c r="G36" s="11">
        <f>IF(OR(A36="",E36=""),"",Summary!$B$2-(E36+F36)/1440)</f>
        <v/>
      </c>
      <c r="H36" s="11">
        <f>IF(OR(A36="",E36=""),"",Summary!$B$2-F36/1440)</f>
        <v/>
      </c>
      <c r="I36" s="10">
        <f>IF(OR(C36&lt;&gt;"Oven",G36=""),"",SUMPRODUCT((Menu!$C$2:$C$41="Oven")*(Menu!$E$2:$E$41&lt;&gt;"")*(Menu!$A$2:$A$41&lt;&gt;"")*(Menu!$D$2:$D$41&lt;&gt;D36)*(Menu!$G$2:$G$41&lt;H36)*(Menu!$H$2:$H$41&gt;G36)))</f>
        <v/>
      </c>
      <c r="J36" s="14" t="n"/>
    </row>
    <row r="37">
      <c r="A37" s="14" t="n"/>
      <c r="B37" s="14" t="n"/>
      <c r="C37" s="14" t="n"/>
      <c r="D37" s="15" t="n"/>
      <c r="E37" s="15" t="n"/>
      <c r="F37" s="15" t="n"/>
      <c r="G37" s="11">
        <f>IF(OR(A37="",E37=""),"",Summary!$B$2-(E37+F37)/1440)</f>
        <v/>
      </c>
      <c r="H37" s="11">
        <f>IF(OR(A37="",E37=""),"",Summary!$B$2-F37/1440)</f>
        <v/>
      </c>
      <c r="I37" s="10">
        <f>IF(OR(C37&lt;&gt;"Oven",G37=""),"",SUMPRODUCT((Menu!$C$2:$C$41="Oven")*(Menu!$E$2:$E$41&lt;&gt;"")*(Menu!$A$2:$A$41&lt;&gt;"")*(Menu!$D$2:$D$41&lt;&gt;D37)*(Menu!$G$2:$G$41&lt;H37)*(Menu!$H$2:$H$41&gt;G37)))</f>
        <v/>
      </c>
      <c r="J37" s="14" t="n"/>
    </row>
    <row r="38">
      <c r="A38" s="14" t="n"/>
      <c r="B38" s="14" t="n"/>
      <c r="C38" s="14" t="n"/>
      <c r="D38" s="15" t="n"/>
      <c r="E38" s="15" t="n"/>
      <c r="F38" s="15" t="n"/>
      <c r="G38" s="11">
        <f>IF(OR(A38="",E38=""),"",Summary!$B$2-(E38+F38)/1440)</f>
        <v/>
      </c>
      <c r="H38" s="11">
        <f>IF(OR(A38="",E38=""),"",Summary!$B$2-F38/1440)</f>
        <v/>
      </c>
      <c r="I38" s="10">
        <f>IF(OR(C38&lt;&gt;"Oven",G38=""),"",SUMPRODUCT((Menu!$C$2:$C$41="Oven")*(Menu!$E$2:$E$41&lt;&gt;"")*(Menu!$A$2:$A$41&lt;&gt;"")*(Menu!$D$2:$D$41&lt;&gt;D38)*(Menu!$G$2:$G$41&lt;H38)*(Menu!$H$2:$H$41&gt;G38)))</f>
        <v/>
      </c>
      <c r="J38" s="14" t="n"/>
    </row>
    <row r="39">
      <c r="A39" s="14" t="n"/>
      <c r="B39" s="14" t="n"/>
      <c r="C39" s="14" t="n"/>
      <c r="D39" s="15" t="n"/>
      <c r="E39" s="15" t="n"/>
      <c r="F39" s="15" t="n"/>
      <c r="G39" s="11">
        <f>IF(OR(A39="",E39=""),"",Summary!$B$2-(E39+F39)/1440)</f>
        <v/>
      </c>
      <c r="H39" s="11">
        <f>IF(OR(A39="",E39=""),"",Summary!$B$2-F39/1440)</f>
        <v/>
      </c>
      <c r="I39" s="10">
        <f>IF(OR(C39&lt;&gt;"Oven",G39=""),"",SUMPRODUCT((Menu!$C$2:$C$41="Oven")*(Menu!$E$2:$E$41&lt;&gt;"")*(Menu!$A$2:$A$41&lt;&gt;"")*(Menu!$D$2:$D$41&lt;&gt;D39)*(Menu!$G$2:$G$41&lt;H39)*(Menu!$H$2:$H$41&gt;G39)))</f>
        <v/>
      </c>
      <c r="J39" s="14" t="n"/>
    </row>
    <row r="40">
      <c r="A40" s="14" t="n"/>
      <c r="B40" s="14" t="n"/>
      <c r="C40" s="14" t="n"/>
      <c r="D40" s="15" t="n"/>
      <c r="E40" s="15" t="n"/>
      <c r="F40" s="15" t="n"/>
      <c r="G40" s="11">
        <f>IF(OR(A40="",E40=""),"",Summary!$B$2-(E40+F40)/1440)</f>
        <v/>
      </c>
      <c r="H40" s="11">
        <f>IF(OR(A40="",E40=""),"",Summary!$B$2-F40/1440)</f>
        <v/>
      </c>
      <c r="I40" s="10">
        <f>IF(OR(C40&lt;&gt;"Oven",G40=""),"",SUMPRODUCT((Menu!$C$2:$C$41="Oven")*(Menu!$E$2:$E$41&lt;&gt;"")*(Menu!$A$2:$A$41&lt;&gt;"")*(Menu!$D$2:$D$41&lt;&gt;D40)*(Menu!$G$2:$G$41&lt;H40)*(Menu!$H$2:$H$41&gt;G40)))</f>
        <v/>
      </c>
      <c r="J40" s="14" t="n"/>
    </row>
    <row r="41">
      <c r="A41" s="14" t="n"/>
      <c r="B41" s="14" t="n"/>
      <c r="C41" s="14" t="n"/>
      <c r="D41" s="15" t="n"/>
      <c r="E41" s="15" t="n"/>
      <c r="F41" s="15" t="n"/>
      <c r="G41" s="11">
        <f>IF(OR(A41="",E41=""),"",Summary!$B$2-(E41+F41)/1440)</f>
        <v/>
      </c>
      <c r="H41" s="11">
        <f>IF(OR(A41="",E41=""),"",Summary!$B$2-F41/1440)</f>
        <v/>
      </c>
      <c r="I41" s="10">
        <f>IF(OR(C41&lt;&gt;"Oven",G41=""),"",SUMPRODUCT((Menu!$C$2:$C$41="Oven")*(Menu!$E$2:$E$41&lt;&gt;"")*(Menu!$A$2:$A$41&lt;&gt;"")*(Menu!$D$2:$D$41&lt;&gt;D41)*(Menu!$G$2:$G$41&lt;H41)*(Menu!$H$2:$H$41&gt;G41)))</f>
        <v/>
      </c>
      <c r="J41" s="14" t="n"/>
    </row>
  </sheetData>
  <conditionalFormatting sqref="I2:I41">
    <cfRule type="expression" priority="1" dxfId="2">
      <formula>AND(I2&lt;&gt;"",I2&gt;0)</formula>
    </cfRule>
  </conditionalFormatting>
  <dataValidations count="2">
    <dataValidation sqref="C2:C41" showDropDown="0" showInputMessage="0" showErrorMessage="0" allowBlank="1" type="list">
      <formula1>"Oven,Stovetop,Slow cooker,Make-ahead,Microwave,No cook,Grill/fryer"</formula1>
    </dataValidation>
    <dataValidation sqref="E2:F41" showDropDown="0" showInputMessage="0" showErrorMessage="0" allowBlank="1" type="whole" operator="between">
      <formula1>0</formula1>
      <formula2>2880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6" customWidth="1" min="2" max="2"/>
    <col width="7" customWidth="1" min="3" max="3"/>
    <col width="9" customWidth="1" min="4" max="4"/>
    <col width="14" customWidth="1" min="5" max="5"/>
    <col width="11" customWidth="1" min="6" max="6"/>
    <col width="11" customWidth="1" min="7" max="7"/>
    <col width="9" customWidth="1" min="8" max="8"/>
    <col width="24" customWidth="1" min="9" max="9"/>
    <col width="11" customWidth="1" min="10" max="10"/>
  </cols>
  <sheetData>
    <row r="1" ht="32" customHeight="1">
      <c r="A1" s="13" t="inlineStr">
        <is>
          <t>Item</t>
        </is>
      </c>
      <c r="B1" s="13" t="inlineStr">
        <is>
          <t>For dish</t>
        </is>
      </c>
      <c r="C1" s="13" t="inlineStr">
        <is>
          <t>Qty</t>
        </is>
      </c>
      <c r="D1" s="13" t="inlineStr">
        <is>
          <t>Unit</t>
        </is>
      </c>
      <c r="E1" s="13" t="inlineStr">
        <is>
          <t>Store</t>
        </is>
      </c>
      <c r="F1" s="13" t="inlineStr">
        <is>
          <t>Estimated cost</t>
        </is>
      </c>
      <c r="G1" s="13" t="inlineStr">
        <is>
          <t>Actual cost</t>
        </is>
      </c>
      <c r="H1" s="13" t="inlineStr">
        <is>
          <t>Bought?</t>
        </is>
      </c>
      <c r="I1" s="13" t="inlineStr">
        <is>
          <t>Notes</t>
        </is>
      </c>
      <c r="J1" s="13" t="inlineStr">
        <is>
          <t>Projected</t>
        </is>
      </c>
    </row>
    <row r="2">
      <c r="A2" s="14" t="inlineStr">
        <is>
          <t>Example: Whole turkey</t>
        </is>
      </c>
      <c r="B2" s="14" t="inlineStr">
        <is>
          <t>Turkey</t>
        </is>
      </c>
      <c r="C2" s="14" t="n">
        <v>16</v>
      </c>
      <c r="D2" s="14" t="inlineStr">
        <is>
          <t>lb</t>
        </is>
      </c>
      <c r="E2" s="14" t="inlineStr">
        <is>
          <t>Grocery</t>
        </is>
      </c>
      <c r="F2" s="8" t="n">
        <v>30</v>
      </c>
      <c r="G2" s="8" t="n">
        <v>27.84</v>
      </c>
      <c r="H2" s="14" t="inlineStr">
        <is>
          <t>Yes</t>
        </is>
      </c>
      <c r="I2" s="14" t="inlineStr">
        <is>
          <t>Frozen: start thawing early</t>
        </is>
      </c>
      <c r="J2" s="12">
        <f>IF(G2&lt;&gt;"",G2,IF(F2&lt;&gt;"",F2,0))</f>
        <v/>
      </c>
    </row>
    <row r="3">
      <c r="A3" s="14" t="inlineStr">
        <is>
          <t>Example: Bread cubes</t>
        </is>
      </c>
      <c r="B3" s="14" t="inlineStr">
        <is>
          <t>Stuffing</t>
        </is>
      </c>
      <c r="C3" s="14" t="n">
        <v>2</v>
      </c>
      <c r="D3" s="14" t="inlineStr">
        <is>
          <t>bags</t>
        </is>
      </c>
      <c r="E3" s="14" t="inlineStr">
        <is>
          <t>Grocery</t>
        </is>
      </c>
      <c r="F3" s="8" t="n">
        <v>7</v>
      </c>
      <c r="G3" s="8" t="n"/>
      <c r="H3" s="14" t="inlineStr">
        <is>
          <t>No</t>
        </is>
      </c>
      <c r="I3" s="14" t="n"/>
      <c r="J3" s="12">
        <f>IF(G3&lt;&gt;"",G3,IF(F3&lt;&gt;"",F3,0))</f>
        <v/>
      </c>
    </row>
    <row r="4">
      <c r="A4" s="14" t="inlineStr">
        <is>
          <t>Example: Potatoes</t>
        </is>
      </c>
      <c r="B4" s="14" t="inlineStr">
        <is>
          <t>Mashed potatoes</t>
        </is>
      </c>
      <c r="C4" s="14" t="n">
        <v>5</v>
      </c>
      <c r="D4" s="14" t="inlineStr">
        <is>
          <t>lb</t>
        </is>
      </c>
      <c r="E4" s="14" t="inlineStr">
        <is>
          <t>Grocery</t>
        </is>
      </c>
      <c r="F4" s="8" t="n">
        <v>6</v>
      </c>
      <c r="G4" s="8" t="n">
        <v>5.49</v>
      </c>
      <c r="H4" s="14" t="inlineStr">
        <is>
          <t>Yes</t>
        </is>
      </c>
      <c r="I4" s="14" t="n"/>
      <c r="J4" s="12">
        <f>IF(G4&lt;&gt;"",G4,IF(F4&lt;&gt;"",F4,0))</f>
        <v/>
      </c>
    </row>
    <row r="5">
      <c r="A5" s="14" t="inlineStr">
        <is>
          <t>Example: Butter</t>
        </is>
      </c>
      <c r="B5" s="14" t="inlineStr">
        <is>
          <t>Several</t>
        </is>
      </c>
      <c r="C5" s="14" t="n">
        <v>2</v>
      </c>
      <c r="D5" s="14" t="inlineStr">
        <is>
          <t>lb</t>
        </is>
      </c>
      <c r="E5" s="14" t="inlineStr">
        <is>
          <t>Grocery</t>
        </is>
      </c>
      <c r="F5" s="8" t="n">
        <v>10</v>
      </c>
      <c r="G5" s="8" t="n"/>
      <c r="H5" s="14" t="inlineStr">
        <is>
          <t>No</t>
        </is>
      </c>
      <c r="I5" s="14" t="n"/>
      <c r="J5" s="12">
        <f>IF(G5&lt;&gt;"",G5,IF(F5&lt;&gt;"",F5,0))</f>
        <v/>
      </c>
    </row>
    <row r="6">
      <c r="A6" s="14" t="inlineStr">
        <is>
          <t>Example: Cranberries</t>
        </is>
      </c>
      <c r="B6" s="14" t="inlineStr">
        <is>
          <t>Cranberry sauce</t>
        </is>
      </c>
      <c r="C6" s="14" t="n">
        <v>2</v>
      </c>
      <c r="D6" s="14" t="inlineStr">
        <is>
          <t>bags</t>
        </is>
      </c>
      <c r="E6" s="14" t="inlineStr">
        <is>
          <t>Grocery</t>
        </is>
      </c>
      <c r="F6" s="8" t="n">
        <v>6</v>
      </c>
      <c r="G6" s="8" t="n"/>
      <c r="H6" s="14" t="inlineStr">
        <is>
          <t>No</t>
        </is>
      </c>
      <c r="I6" s="14" t="n"/>
      <c r="J6" s="12">
        <f>IF(G6&lt;&gt;"",G6,IF(F6&lt;&gt;"",F6,0))</f>
        <v/>
      </c>
    </row>
    <row r="7">
      <c r="A7" s="14" t="inlineStr">
        <is>
          <t>Example: Dinner rolls</t>
        </is>
      </c>
      <c r="B7" s="14" t="inlineStr">
        <is>
          <t>Rolls</t>
        </is>
      </c>
      <c r="C7" s="14" t="n">
        <v>24</v>
      </c>
      <c r="D7" s="14" t="inlineStr">
        <is>
          <t>pcs</t>
        </is>
      </c>
      <c r="E7" s="14" t="inlineStr">
        <is>
          <t>Bakery</t>
        </is>
      </c>
      <c r="F7" s="8" t="n">
        <v>8</v>
      </c>
      <c r="G7" s="8" t="n"/>
      <c r="H7" s="14" t="inlineStr">
        <is>
          <t>No</t>
        </is>
      </c>
      <c r="I7" s="14" t="n"/>
      <c r="J7" s="12">
        <f>IF(G7&lt;&gt;"",G7,IF(F7&lt;&gt;"",F7,0))</f>
        <v/>
      </c>
    </row>
    <row r="8">
      <c r="A8" s="14" t="n"/>
      <c r="B8" s="14" t="n"/>
      <c r="C8" s="14" t="n"/>
      <c r="D8" s="14" t="n"/>
      <c r="E8" s="14" t="n"/>
      <c r="F8" s="8" t="n"/>
      <c r="G8" s="8" t="n"/>
      <c r="H8" s="14" t="n"/>
      <c r="I8" s="14" t="n"/>
      <c r="J8" s="12">
        <f>IF(G8&lt;&gt;"",G8,IF(F8&lt;&gt;"",F8,0))</f>
        <v/>
      </c>
    </row>
    <row r="9">
      <c r="A9" s="14" t="n"/>
      <c r="B9" s="14" t="n"/>
      <c r="C9" s="14" t="n"/>
      <c r="D9" s="14" t="n"/>
      <c r="E9" s="14" t="n"/>
      <c r="F9" s="8" t="n"/>
      <c r="G9" s="8" t="n"/>
      <c r="H9" s="14" t="n"/>
      <c r="I9" s="14" t="n"/>
      <c r="J9" s="12">
        <f>IF(G9&lt;&gt;"",G9,IF(F9&lt;&gt;"",F9,0))</f>
        <v/>
      </c>
    </row>
    <row r="10">
      <c r="A10" s="14" t="n"/>
      <c r="B10" s="14" t="n"/>
      <c r="C10" s="14" t="n"/>
      <c r="D10" s="14" t="n"/>
      <c r="E10" s="14" t="n"/>
      <c r="F10" s="8" t="n"/>
      <c r="G10" s="8" t="n"/>
      <c r="H10" s="14" t="n"/>
      <c r="I10" s="14" t="n"/>
      <c r="J10" s="12">
        <f>IF(G10&lt;&gt;"",G10,IF(F10&lt;&gt;"",F10,0))</f>
        <v/>
      </c>
    </row>
    <row r="11">
      <c r="A11" s="14" t="n"/>
      <c r="B11" s="14" t="n"/>
      <c r="C11" s="14" t="n"/>
      <c r="D11" s="14" t="n"/>
      <c r="E11" s="14" t="n"/>
      <c r="F11" s="8" t="n"/>
      <c r="G11" s="8" t="n"/>
      <c r="H11" s="14" t="n"/>
      <c r="I11" s="14" t="n"/>
      <c r="J11" s="12">
        <f>IF(G11&lt;&gt;"",G11,IF(F11&lt;&gt;"",F11,0))</f>
        <v/>
      </c>
    </row>
    <row r="12">
      <c r="A12" s="14" t="n"/>
      <c r="B12" s="14" t="n"/>
      <c r="C12" s="14" t="n"/>
      <c r="D12" s="14" t="n"/>
      <c r="E12" s="14" t="n"/>
      <c r="F12" s="8" t="n"/>
      <c r="G12" s="8" t="n"/>
      <c r="H12" s="14" t="n"/>
      <c r="I12" s="14" t="n"/>
      <c r="J12" s="12">
        <f>IF(G12&lt;&gt;"",G12,IF(F12&lt;&gt;"",F12,0))</f>
        <v/>
      </c>
    </row>
    <row r="13">
      <c r="A13" s="14" t="n"/>
      <c r="B13" s="14" t="n"/>
      <c r="C13" s="14" t="n"/>
      <c r="D13" s="14" t="n"/>
      <c r="E13" s="14" t="n"/>
      <c r="F13" s="8" t="n"/>
      <c r="G13" s="8" t="n"/>
      <c r="H13" s="14" t="n"/>
      <c r="I13" s="14" t="n"/>
      <c r="J13" s="12">
        <f>IF(G13&lt;&gt;"",G13,IF(F13&lt;&gt;"",F13,0))</f>
        <v/>
      </c>
    </row>
    <row r="14">
      <c r="A14" s="14" t="n"/>
      <c r="B14" s="14" t="n"/>
      <c r="C14" s="14" t="n"/>
      <c r="D14" s="14" t="n"/>
      <c r="E14" s="14" t="n"/>
      <c r="F14" s="8" t="n"/>
      <c r="G14" s="8" t="n"/>
      <c r="H14" s="14" t="n"/>
      <c r="I14" s="14" t="n"/>
      <c r="J14" s="12">
        <f>IF(G14&lt;&gt;"",G14,IF(F14&lt;&gt;"",F14,0))</f>
        <v/>
      </c>
    </row>
    <row r="15">
      <c r="A15" s="14" t="n"/>
      <c r="B15" s="14" t="n"/>
      <c r="C15" s="14" t="n"/>
      <c r="D15" s="14" t="n"/>
      <c r="E15" s="14" t="n"/>
      <c r="F15" s="8" t="n"/>
      <c r="G15" s="8" t="n"/>
      <c r="H15" s="14" t="n"/>
      <c r="I15" s="14" t="n"/>
      <c r="J15" s="12">
        <f>IF(G15&lt;&gt;"",G15,IF(F15&lt;&gt;"",F15,0))</f>
        <v/>
      </c>
    </row>
    <row r="16">
      <c r="A16" s="14" t="n"/>
      <c r="B16" s="14" t="n"/>
      <c r="C16" s="14" t="n"/>
      <c r="D16" s="14" t="n"/>
      <c r="E16" s="14" t="n"/>
      <c r="F16" s="8" t="n"/>
      <c r="G16" s="8" t="n"/>
      <c r="H16" s="14" t="n"/>
      <c r="I16" s="14" t="n"/>
      <c r="J16" s="12">
        <f>IF(G16&lt;&gt;"",G16,IF(F16&lt;&gt;"",F16,0))</f>
        <v/>
      </c>
    </row>
    <row r="17">
      <c r="A17" s="14" t="n"/>
      <c r="B17" s="14" t="n"/>
      <c r="C17" s="14" t="n"/>
      <c r="D17" s="14" t="n"/>
      <c r="E17" s="14" t="n"/>
      <c r="F17" s="8" t="n"/>
      <c r="G17" s="8" t="n"/>
      <c r="H17" s="14" t="n"/>
      <c r="I17" s="14" t="n"/>
      <c r="J17" s="12">
        <f>IF(G17&lt;&gt;"",G17,IF(F17&lt;&gt;"",F17,0))</f>
        <v/>
      </c>
    </row>
    <row r="18">
      <c r="A18" s="14" t="n"/>
      <c r="B18" s="14" t="n"/>
      <c r="C18" s="14" t="n"/>
      <c r="D18" s="14" t="n"/>
      <c r="E18" s="14" t="n"/>
      <c r="F18" s="8" t="n"/>
      <c r="G18" s="8" t="n"/>
      <c r="H18" s="14" t="n"/>
      <c r="I18" s="14" t="n"/>
      <c r="J18" s="12">
        <f>IF(G18&lt;&gt;"",G18,IF(F18&lt;&gt;"",F18,0))</f>
        <v/>
      </c>
    </row>
    <row r="19">
      <c r="A19" s="14" t="n"/>
      <c r="B19" s="14" t="n"/>
      <c r="C19" s="14" t="n"/>
      <c r="D19" s="14" t="n"/>
      <c r="E19" s="14" t="n"/>
      <c r="F19" s="8" t="n"/>
      <c r="G19" s="8" t="n"/>
      <c r="H19" s="14" t="n"/>
      <c r="I19" s="14" t="n"/>
      <c r="J19" s="12">
        <f>IF(G19&lt;&gt;"",G19,IF(F19&lt;&gt;"",F19,0))</f>
        <v/>
      </c>
    </row>
    <row r="20">
      <c r="A20" s="14" t="n"/>
      <c r="B20" s="14" t="n"/>
      <c r="C20" s="14" t="n"/>
      <c r="D20" s="14" t="n"/>
      <c r="E20" s="14" t="n"/>
      <c r="F20" s="8" t="n"/>
      <c r="G20" s="8" t="n"/>
      <c r="H20" s="14" t="n"/>
      <c r="I20" s="14" t="n"/>
      <c r="J20" s="12">
        <f>IF(G20&lt;&gt;"",G20,IF(F20&lt;&gt;"",F20,0))</f>
        <v/>
      </c>
    </row>
    <row r="21">
      <c r="A21" s="14" t="n"/>
      <c r="B21" s="14" t="n"/>
      <c r="C21" s="14" t="n"/>
      <c r="D21" s="14" t="n"/>
      <c r="E21" s="14" t="n"/>
      <c r="F21" s="8" t="n"/>
      <c r="G21" s="8" t="n"/>
      <c r="H21" s="14" t="n"/>
      <c r="I21" s="14" t="n"/>
      <c r="J21" s="12">
        <f>IF(G21&lt;&gt;"",G21,IF(F21&lt;&gt;"",F21,0))</f>
        <v/>
      </c>
    </row>
    <row r="22">
      <c r="A22" s="14" t="n"/>
      <c r="B22" s="14" t="n"/>
      <c r="C22" s="14" t="n"/>
      <c r="D22" s="14" t="n"/>
      <c r="E22" s="14" t="n"/>
      <c r="F22" s="8" t="n"/>
      <c r="G22" s="8" t="n"/>
      <c r="H22" s="14" t="n"/>
      <c r="I22" s="14" t="n"/>
      <c r="J22" s="12">
        <f>IF(G22&lt;&gt;"",G22,IF(F22&lt;&gt;"",F22,0))</f>
        <v/>
      </c>
    </row>
    <row r="23">
      <c r="A23" s="14" t="n"/>
      <c r="B23" s="14" t="n"/>
      <c r="C23" s="14" t="n"/>
      <c r="D23" s="14" t="n"/>
      <c r="E23" s="14" t="n"/>
      <c r="F23" s="8" t="n"/>
      <c r="G23" s="8" t="n"/>
      <c r="H23" s="14" t="n"/>
      <c r="I23" s="14" t="n"/>
      <c r="J23" s="12">
        <f>IF(G23&lt;&gt;"",G23,IF(F23&lt;&gt;"",F23,0))</f>
        <v/>
      </c>
    </row>
    <row r="24">
      <c r="A24" s="14" t="n"/>
      <c r="B24" s="14" t="n"/>
      <c r="C24" s="14" t="n"/>
      <c r="D24" s="14" t="n"/>
      <c r="E24" s="14" t="n"/>
      <c r="F24" s="8" t="n"/>
      <c r="G24" s="8" t="n"/>
      <c r="H24" s="14" t="n"/>
      <c r="I24" s="14" t="n"/>
      <c r="J24" s="12">
        <f>IF(G24&lt;&gt;"",G24,IF(F24&lt;&gt;"",F24,0))</f>
        <v/>
      </c>
    </row>
    <row r="25">
      <c r="A25" s="14" t="n"/>
      <c r="B25" s="14" t="n"/>
      <c r="C25" s="14" t="n"/>
      <c r="D25" s="14" t="n"/>
      <c r="E25" s="14" t="n"/>
      <c r="F25" s="8" t="n"/>
      <c r="G25" s="8" t="n"/>
      <c r="H25" s="14" t="n"/>
      <c r="I25" s="14" t="n"/>
      <c r="J25" s="12">
        <f>IF(G25&lt;&gt;"",G25,IF(F25&lt;&gt;"",F25,0))</f>
        <v/>
      </c>
    </row>
    <row r="26">
      <c r="A26" s="14" t="n"/>
      <c r="B26" s="14" t="n"/>
      <c r="C26" s="14" t="n"/>
      <c r="D26" s="14" t="n"/>
      <c r="E26" s="14" t="n"/>
      <c r="F26" s="8" t="n"/>
      <c r="G26" s="8" t="n"/>
      <c r="H26" s="14" t="n"/>
      <c r="I26" s="14" t="n"/>
      <c r="J26" s="12">
        <f>IF(G26&lt;&gt;"",G26,IF(F26&lt;&gt;"",F26,0))</f>
        <v/>
      </c>
    </row>
    <row r="27">
      <c r="A27" s="14" t="n"/>
      <c r="B27" s="14" t="n"/>
      <c r="C27" s="14" t="n"/>
      <c r="D27" s="14" t="n"/>
      <c r="E27" s="14" t="n"/>
      <c r="F27" s="8" t="n"/>
      <c r="G27" s="8" t="n"/>
      <c r="H27" s="14" t="n"/>
      <c r="I27" s="14" t="n"/>
      <c r="J27" s="12">
        <f>IF(G27&lt;&gt;"",G27,IF(F27&lt;&gt;"",F27,0))</f>
        <v/>
      </c>
    </row>
    <row r="28">
      <c r="A28" s="14" t="n"/>
      <c r="B28" s="14" t="n"/>
      <c r="C28" s="14" t="n"/>
      <c r="D28" s="14" t="n"/>
      <c r="E28" s="14" t="n"/>
      <c r="F28" s="8" t="n"/>
      <c r="G28" s="8" t="n"/>
      <c r="H28" s="14" t="n"/>
      <c r="I28" s="14" t="n"/>
      <c r="J28" s="12">
        <f>IF(G28&lt;&gt;"",G28,IF(F28&lt;&gt;"",F28,0))</f>
        <v/>
      </c>
    </row>
    <row r="29">
      <c r="A29" s="14" t="n"/>
      <c r="B29" s="14" t="n"/>
      <c r="C29" s="14" t="n"/>
      <c r="D29" s="14" t="n"/>
      <c r="E29" s="14" t="n"/>
      <c r="F29" s="8" t="n"/>
      <c r="G29" s="8" t="n"/>
      <c r="H29" s="14" t="n"/>
      <c r="I29" s="14" t="n"/>
      <c r="J29" s="12">
        <f>IF(G29&lt;&gt;"",G29,IF(F29&lt;&gt;"",F29,0))</f>
        <v/>
      </c>
    </row>
    <row r="30">
      <c r="A30" s="14" t="n"/>
      <c r="B30" s="14" t="n"/>
      <c r="C30" s="14" t="n"/>
      <c r="D30" s="14" t="n"/>
      <c r="E30" s="14" t="n"/>
      <c r="F30" s="8" t="n"/>
      <c r="G30" s="8" t="n"/>
      <c r="H30" s="14" t="n"/>
      <c r="I30" s="14" t="n"/>
      <c r="J30" s="12">
        <f>IF(G30&lt;&gt;"",G30,IF(F30&lt;&gt;"",F30,0))</f>
        <v/>
      </c>
    </row>
    <row r="31">
      <c r="A31" s="14" t="n"/>
      <c r="B31" s="14" t="n"/>
      <c r="C31" s="14" t="n"/>
      <c r="D31" s="14" t="n"/>
      <c r="E31" s="14" t="n"/>
      <c r="F31" s="8" t="n"/>
      <c r="G31" s="8" t="n"/>
      <c r="H31" s="14" t="n"/>
      <c r="I31" s="14" t="n"/>
      <c r="J31" s="12">
        <f>IF(G31&lt;&gt;"",G31,IF(F31&lt;&gt;"",F31,0))</f>
        <v/>
      </c>
    </row>
    <row r="32">
      <c r="A32" s="14" t="n"/>
      <c r="B32" s="14" t="n"/>
      <c r="C32" s="14" t="n"/>
      <c r="D32" s="14" t="n"/>
      <c r="E32" s="14" t="n"/>
      <c r="F32" s="8" t="n"/>
      <c r="G32" s="8" t="n"/>
      <c r="H32" s="14" t="n"/>
      <c r="I32" s="14" t="n"/>
      <c r="J32" s="12">
        <f>IF(G32&lt;&gt;"",G32,IF(F32&lt;&gt;"",F32,0))</f>
        <v/>
      </c>
    </row>
    <row r="33">
      <c r="A33" s="14" t="n"/>
      <c r="B33" s="14" t="n"/>
      <c r="C33" s="14" t="n"/>
      <c r="D33" s="14" t="n"/>
      <c r="E33" s="14" t="n"/>
      <c r="F33" s="8" t="n"/>
      <c r="G33" s="8" t="n"/>
      <c r="H33" s="14" t="n"/>
      <c r="I33" s="14" t="n"/>
      <c r="J33" s="12">
        <f>IF(G33&lt;&gt;"",G33,IF(F33&lt;&gt;"",F33,0))</f>
        <v/>
      </c>
    </row>
    <row r="34">
      <c r="A34" s="14" t="n"/>
      <c r="B34" s="14" t="n"/>
      <c r="C34" s="14" t="n"/>
      <c r="D34" s="14" t="n"/>
      <c r="E34" s="14" t="n"/>
      <c r="F34" s="8" t="n"/>
      <c r="G34" s="8" t="n"/>
      <c r="H34" s="14" t="n"/>
      <c r="I34" s="14" t="n"/>
      <c r="J34" s="12">
        <f>IF(G34&lt;&gt;"",G34,IF(F34&lt;&gt;"",F34,0))</f>
        <v/>
      </c>
    </row>
    <row r="35">
      <c r="A35" s="14" t="n"/>
      <c r="B35" s="14" t="n"/>
      <c r="C35" s="14" t="n"/>
      <c r="D35" s="14" t="n"/>
      <c r="E35" s="14" t="n"/>
      <c r="F35" s="8" t="n"/>
      <c r="G35" s="8" t="n"/>
      <c r="H35" s="14" t="n"/>
      <c r="I35" s="14" t="n"/>
      <c r="J35" s="12">
        <f>IF(G35&lt;&gt;"",G35,IF(F35&lt;&gt;"",F35,0))</f>
        <v/>
      </c>
    </row>
    <row r="36">
      <c r="A36" s="14" t="n"/>
      <c r="B36" s="14" t="n"/>
      <c r="C36" s="14" t="n"/>
      <c r="D36" s="14" t="n"/>
      <c r="E36" s="14" t="n"/>
      <c r="F36" s="8" t="n"/>
      <c r="G36" s="8" t="n"/>
      <c r="H36" s="14" t="n"/>
      <c r="I36" s="14" t="n"/>
      <c r="J36" s="12">
        <f>IF(G36&lt;&gt;"",G36,IF(F36&lt;&gt;"",F36,0))</f>
        <v/>
      </c>
    </row>
    <row r="37">
      <c r="A37" s="14" t="n"/>
      <c r="B37" s="14" t="n"/>
      <c r="C37" s="14" t="n"/>
      <c r="D37" s="14" t="n"/>
      <c r="E37" s="14" t="n"/>
      <c r="F37" s="8" t="n"/>
      <c r="G37" s="8" t="n"/>
      <c r="H37" s="14" t="n"/>
      <c r="I37" s="14" t="n"/>
      <c r="J37" s="12">
        <f>IF(G37&lt;&gt;"",G37,IF(F37&lt;&gt;"",F37,0))</f>
        <v/>
      </c>
    </row>
    <row r="38">
      <c r="A38" s="14" t="n"/>
      <c r="B38" s="14" t="n"/>
      <c r="C38" s="14" t="n"/>
      <c r="D38" s="14" t="n"/>
      <c r="E38" s="14" t="n"/>
      <c r="F38" s="8" t="n"/>
      <c r="G38" s="8" t="n"/>
      <c r="H38" s="14" t="n"/>
      <c r="I38" s="14" t="n"/>
      <c r="J38" s="12">
        <f>IF(G38&lt;&gt;"",G38,IF(F38&lt;&gt;"",F38,0))</f>
        <v/>
      </c>
    </row>
    <row r="39">
      <c r="A39" s="14" t="n"/>
      <c r="B39" s="14" t="n"/>
      <c r="C39" s="14" t="n"/>
      <c r="D39" s="14" t="n"/>
      <c r="E39" s="14" t="n"/>
      <c r="F39" s="8" t="n"/>
      <c r="G39" s="8" t="n"/>
      <c r="H39" s="14" t="n"/>
      <c r="I39" s="14" t="n"/>
      <c r="J39" s="12">
        <f>IF(G39&lt;&gt;"",G39,IF(F39&lt;&gt;"",F39,0))</f>
        <v/>
      </c>
    </row>
    <row r="40">
      <c r="A40" s="14" t="n"/>
      <c r="B40" s="14" t="n"/>
      <c r="C40" s="14" t="n"/>
      <c r="D40" s="14" t="n"/>
      <c r="E40" s="14" t="n"/>
      <c r="F40" s="8" t="n"/>
      <c r="G40" s="8" t="n"/>
      <c r="H40" s="14" t="n"/>
      <c r="I40" s="14" t="n"/>
      <c r="J40" s="12">
        <f>IF(G40&lt;&gt;"",G40,IF(F40&lt;&gt;"",F40,0))</f>
        <v/>
      </c>
    </row>
    <row r="41">
      <c r="A41" s="14" t="n"/>
      <c r="B41" s="14" t="n"/>
      <c r="C41" s="14" t="n"/>
      <c r="D41" s="14" t="n"/>
      <c r="E41" s="14" t="n"/>
      <c r="F41" s="8" t="n"/>
      <c r="G41" s="8" t="n"/>
      <c r="H41" s="14" t="n"/>
      <c r="I41" s="14" t="n"/>
      <c r="J41" s="12">
        <f>IF(G41&lt;&gt;"",G41,IF(F41&lt;&gt;"",F41,0))</f>
        <v/>
      </c>
    </row>
    <row r="42">
      <c r="A42" s="14" t="n"/>
      <c r="B42" s="14" t="n"/>
      <c r="C42" s="14" t="n"/>
      <c r="D42" s="14" t="n"/>
      <c r="E42" s="14" t="n"/>
      <c r="F42" s="8" t="n"/>
      <c r="G42" s="8" t="n"/>
      <c r="H42" s="14" t="n"/>
      <c r="I42" s="14" t="n"/>
      <c r="J42" s="12">
        <f>IF(G42&lt;&gt;"",G42,IF(F42&lt;&gt;"",F42,0))</f>
        <v/>
      </c>
    </row>
    <row r="43">
      <c r="A43" s="14" t="n"/>
      <c r="B43" s="14" t="n"/>
      <c r="C43" s="14" t="n"/>
      <c r="D43" s="14" t="n"/>
      <c r="E43" s="14" t="n"/>
      <c r="F43" s="8" t="n"/>
      <c r="G43" s="8" t="n"/>
      <c r="H43" s="14" t="n"/>
      <c r="I43" s="14" t="n"/>
      <c r="J43" s="12">
        <f>IF(G43&lt;&gt;"",G43,IF(F43&lt;&gt;"",F43,0))</f>
        <v/>
      </c>
    </row>
    <row r="44">
      <c r="A44" s="14" t="n"/>
      <c r="B44" s="14" t="n"/>
      <c r="C44" s="14" t="n"/>
      <c r="D44" s="14" t="n"/>
      <c r="E44" s="14" t="n"/>
      <c r="F44" s="8" t="n"/>
      <c r="G44" s="8" t="n"/>
      <c r="H44" s="14" t="n"/>
      <c r="I44" s="14" t="n"/>
      <c r="J44" s="12">
        <f>IF(G44&lt;&gt;"",G44,IF(F44&lt;&gt;"",F44,0))</f>
        <v/>
      </c>
    </row>
    <row r="45">
      <c r="A45" s="14" t="n"/>
      <c r="B45" s="14" t="n"/>
      <c r="C45" s="14" t="n"/>
      <c r="D45" s="14" t="n"/>
      <c r="E45" s="14" t="n"/>
      <c r="F45" s="8" t="n"/>
      <c r="G45" s="8" t="n"/>
      <c r="H45" s="14" t="n"/>
      <c r="I45" s="14" t="n"/>
      <c r="J45" s="12">
        <f>IF(G45&lt;&gt;"",G45,IF(F45&lt;&gt;"",F45,0))</f>
        <v/>
      </c>
    </row>
    <row r="46">
      <c r="A46" s="14" t="n"/>
      <c r="B46" s="14" t="n"/>
      <c r="C46" s="14" t="n"/>
      <c r="D46" s="14" t="n"/>
      <c r="E46" s="14" t="n"/>
      <c r="F46" s="8" t="n"/>
      <c r="G46" s="8" t="n"/>
      <c r="H46" s="14" t="n"/>
      <c r="I46" s="14" t="n"/>
      <c r="J46" s="12">
        <f>IF(G46&lt;&gt;"",G46,IF(F46&lt;&gt;"",F46,0))</f>
        <v/>
      </c>
    </row>
    <row r="47">
      <c r="A47" s="14" t="n"/>
      <c r="B47" s="14" t="n"/>
      <c r="C47" s="14" t="n"/>
      <c r="D47" s="14" t="n"/>
      <c r="E47" s="14" t="n"/>
      <c r="F47" s="8" t="n"/>
      <c r="G47" s="8" t="n"/>
      <c r="H47" s="14" t="n"/>
      <c r="I47" s="14" t="n"/>
      <c r="J47" s="12">
        <f>IF(G47&lt;&gt;"",G47,IF(F47&lt;&gt;"",F47,0))</f>
        <v/>
      </c>
    </row>
    <row r="48">
      <c r="A48" s="14" t="n"/>
      <c r="B48" s="14" t="n"/>
      <c r="C48" s="14" t="n"/>
      <c r="D48" s="14" t="n"/>
      <c r="E48" s="14" t="n"/>
      <c r="F48" s="8" t="n"/>
      <c r="G48" s="8" t="n"/>
      <c r="H48" s="14" t="n"/>
      <c r="I48" s="14" t="n"/>
      <c r="J48" s="12">
        <f>IF(G48&lt;&gt;"",G48,IF(F48&lt;&gt;"",F48,0))</f>
        <v/>
      </c>
    </row>
    <row r="49">
      <c r="A49" s="14" t="n"/>
      <c r="B49" s="14" t="n"/>
      <c r="C49" s="14" t="n"/>
      <c r="D49" s="14" t="n"/>
      <c r="E49" s="14" t="n"/>
      <c r="F49" s="8" t="n"/>
      <c r="G49" s="8" t="n"/>
      <c r="H49" s="14" t="n"/>
      <c r="I49" s="14" t="n"/>
      <c r="J49" s="12">
        <f>IF(G49&lt;&gt;"",G49,IF(F49&lt;&gt;"",F49,0))</f>
        <v/>
      </c>
    </row>
    <row r="50">
      <c r="A50" s="14" t="n"/>
      <c r="B50" s="14" t="n"/>
      <c r="C50" s="14" t="n"/>
      <c r="D50" s="14" t="n"/>
      <c r="E50" s="14" t="n"/>
      <c r="F50" s="8" t="n"/>
      <c r="G50" s="8" t="n"/>
      <c r="H50" s="14" t="n"/>
      <c r="I50" s="14" t="n"/>
      <c r="J50" s="12">
        <f>IF(G50&lt;&gt;"",G50,IF(F50&lt;&gt;"",F50,0))</f>
        <v/>
      </c>
    </row>
    <row r="51">
      <c r="A51" s="14" t="n"/>
      <c r="B51" s="14" t="n"/>
      <c r="C51" s="14" t="n"/>
      <c r="D51" s="14" t="n"/>
      <c r="E51" s="14" t="n"/>
      <c r="F51" s="8" t="n"/>
      <c r="G51" s="8" t="n"/>
      <c r="H51" s="14" t="n"/>
      <c r="I51" s="14" t="n"/>
      <c r="J51" s="12">
        <f>IF(G51&lt;&gt;"",G51,IF(F51&lt;&gt;"",F51,0))</f>
        <v/>
      </c>
    </row>
    <row r="52">
      <c r="A52" s="14" t="n"/>
      <c r="B52" s="14" t="n"/>
      <c r="C52" s="14" t="n"/>
      <c r="D52" s="14" t="n"/>
      <c r="E52" s="14" t="n"/>
      <c r="F52" s="8" t="n"/>
      <c r="G52" s="8" t="n"/>
      <c r="H52" s="14" t="n"/>
      <c r="I52" s="14" t="n"/>
      <c r="J52" s="12">
        <f>IF(G52&lt;&gt;"",G52,IF(F52&lt;&gt;"",F52,0))</f>
        <v/>
      </c>
    </row>
    <row r="53">
      <c r="A53" s="14" t="n"/>
      <c r="B53" s="14" t="n"/>
      <c r="C53" s="14" t="n"/>
      <c r="D53" s="14" t="n"/>
      <c r="E53" s="14" t="n"/>
      <c r="F53" s="8" t="n"/>
      <c r="G53" s="8" t="n"/>
      <c r="H53" s="14" t="n"/>
      <c r="I53" s="14" t="n"/>
      <c r="J53" s="12">
        <f>IF(G53&lt;&gt;"",G53,IF(F53&lt;&gt;"",F53,0))</f>
        <v/>
      </c>
    </row>
    <row r="54">
      <c r="A54" s="14" t="n"/>
      <c r="B54" s="14" t="n"/>
      <c r="C54" s="14" t="n"/>
      <c r="D54" s="14" t="n"/>
      <c r="E54" s="14" t="n"/>
      <c r="F54" s="8" t="n"/>
      <c r="G54" s="8" t="n"/>
      <c r="H54" s="14" t="n"/>
      <c r="I54" s="14" t="n"/>
      <c r="J54" s="12">
        <f>IF(G54&lt;&gt;"",G54,IF(F54&lt;&gt;"",F54,0))</f>
        <v/>
      </c>
    </row>
    <row r="55">
      <c r="A55" s="14" t="n"/>
      <c r="B55" s="14" t="n"/>
      <c r="C55" s="14" t="n"/>
      <c r="D55" s="14" t="n"/>
      <c r="E55" s="14" t="n"/>
      <c r="F55" s="8" t="n"/>
      <c r="G55" s="8" t="n"/>
      <c r="H55" s="14" t="n"/>
      <c r="I55" s="14" t="n"/>
      <c r="J55" s="12">
        <f>IF(G55&lt;&gt;"",G55,IF(F55&lt;&gt;"",F55,0))</f>
        <v/>
      </c>
    </row>
    <row r="56">
      <c r="A56" s="14" t="n"/>
      <c r="B56" s="14" t="n"/>
      <c r="C56" s="14" t="n"/>
      <c r="D56" s="14" t="n"/>
      <c r="E56" s="14" t="n"/>
      <c r="F56" s="8" t="n"/>
      <c r="G56" s="8" t="n"/>
      <c r="H56" s="14" t="n"/>
      <c r="I56" s="14" t="n"/>
      <c r="J56" s="12">
        <f>IF(G56&lt;&gt;"",G56,IF(F56&lt;&gt;"",F56,0))</f>
        <v/>
      </c>
    </row>
    <row r="57">
      <c r="A57" s="14" t="n"/>
      <c r="B57" s="14" t="n"/>
      <c r="C57" s="14" t="n"/>
      <c r="D57" s="14" t="n"/>
      <c r="E57" s="14" t="n"/>
      <c r="F57" s="8" t="n"/>
      <c r="G57" s="8" t="n"/>
      <c r="H57" s="14" t="n"/>
      <c r="I57" s="14" t="n"/>
      <c r="J57" s="12">
        <f>IF(G57&lt;&gt;"",G57,IF(F57&lt;&gt;"",F57,0))</f>
        <v/>
      </c>
    </row>
    <row r="58">
      <c r="A58" s="14" t="n"/>
      <c r="B58" s="14" t="n"/>
      <c r="C58" s="14" t="n"/>
      <c r="D58" s="14" t="n"/>
      <c r="E58" s="14" t="n"/>
      <c r="F58" s="8" t="n"/>
      <c r="G58" s="8" t="n"/>
      <c r="H58" s="14" t="n"/>
      <c r="I58" s="14" t="n"/>
      <c r="J58" s="12">
        <f>IF(G58&lt;&gt;"",G58,IF(F58&lt;&gt;"",F58,0))</f>
        <v/>
      </c>
    </row>
    <row r="59">
      <c r="A59" s="14" t="n"/>
      <c r="B59" s="14" t="n"/>
      <c r="C59" s="14" t="n"/>
      <c r="D59" s="14" t="n"/>
      <c r="E59" s="14" t="n"/>
      <c r="F59" s="8" t="n"/>
      <c r="G59" s="8" t="n"/>
      <c r="H59" s="14" t="n"/>
      <c r="I59" s="14" t="n"/>
      <c r="J59" s="12">
        <f>IF(G59&lt;&gt;"",G59,IF(F59&lt;&gt;"",F59,0))</f>
        <v/>
      </c>
    </row>
    <row r="60">
      <c r="A60" s="14" t="n"/>
      <c r="B60" s="14" t="n"/>
      <c r="C60" s="14" t="n"/>
      <c r="D60" s="14" t="n"/>
      <c r="E60" s="14" t="n"/>
      <c r="F60" s="8" t="n"/>
      <c r="G60" s="8" t="n"/>
      <c r="H60" s="14" t="n"/>
      <c r="I60" s="14" t="n"/>
      <c r="J60" s="12">
        <f>IF(G60&lt;&gt;"",G60,IF(F60&lt;&gt;"",F60,0))</f>
        <v/>
      </c>
    </row>
    <row r="61">
      <c r="A61" s="14" t="n"/>
      <c r="B61" s="14" t="n"/>
      <c r="C61" s="14" t="n"/>
      <c r="D61" s="14" t="n"/>
      <c r="E61" s="14" t="n"/>
      <c r="F61" s="8" t="n"/>
      <c r="G61" s="8" t="n"/>
      <c r="H61" s="14" t="n"/>
      <c r="I61" s="14" t="n"/>
      <c r="J61" s="12">
        <f>IF(G61&lt;&gt;"",G61,IF(F61&lt;&gt;"",F61,0))</f>
        <v/>
      </c>
    </row>
    <row r="62">
      <c r="A62" s="14" t="n"/>
      <c r="B62" s="14" t="n"/>
      <c r="C62" s="14" t="n"/>
      <c r="D62" s="14" t="n"/>
      <c r="E62" s="14" t="n"/>
      <c r="F62" s="8" t="n"/>
      <c r="G62" s="8" t="n"/>
      <c r="H62" s="14" t="n"/>
      <c r="I62" s="14" t="n"/>
      <c r="J62" s="12">
        <f>IF(G62&lt;&gt;"",G62,IF(F62&lt;&gt;"",F62,0))</f>
        <v/>
      </c>
    </row>
    <row r="63">
      <c r="A63" s="14" t="n"/>
      <c r="B63" s="14" t="n"/>
      <c r="C63" s="14" t="n"/>
      <c r="D63" s="14" t="n"/>
      <c r="E63" s="14" t="n"/>
      <c r="F63" s="8" t="n"/>
      <c r="G63" s="8" t="n"/>
      <c r="H63" s="14" t="n"/>
      <c r="I63" s="14" t="n"/>
      <c r="J63" s="12">
        <f>IF(G63&lt;&gt;"",G63,IF(F63&lt;&gt;"",F63,0))</f>
        <v/>
      </c>
    </row>
    <row r="64">
      <c r="A64" s="14" t="n"/>
      <c r="B64" s="14" t="n"/>
      <c r="C64" s="14" t="n"/>
      <c r="D64" s="14" t="n"/>
      <c r="E64" s="14" t="n"/>
      <c r="F64" s="8" t="n"/>
      <c r="G64" s="8" t="n"/>
      <c r="H64" s="14" t="n"/>
      <c r="I64" s="14" t="n"/>
      <c r="J64" s="12">
        <f>IF(G64&lt;&gt;"",G64,IF(F64&lt;&gt;"",F64,0))</f>
        <v/>
      </c>
    </row>
    <row r="65">
      <c r="A65" s="14" t="n"/>
      <c r="B65" s="14" t="n"/>
      <c r="C65" s="14" t="n"/>
      <c r="D65" s="14" t="n"/>
      <c r="E65" s="14" t="n"/>
      <c r="F65" s="8" t="n"/>
      <c r="G65" s="8" t="n"/>
      <c r="H65" s="14" t="n"/>
      <c r="I65" s="14" t="n"/>
      <c r="J65" s="12">
        <f>IF(G65&lt;&gt;"",G65,IF(F65&lt;&gt;"",F65,0))</f>
        <v/>
      </c>
    </row>
    <row r="66">
      <c r="A66" s="14" t="n"/>
      <c r="B66" s="14" t="n"/>
      <c r="C66" s="14" t="n"/>
      <c r="D66" s="14" t="n"/>
      <c r="E66" s="14" t="n"/>
      <c r="F66" s="8" t="n"/>
      <c r="G66" s="8" t="n"/>
      <c r="H66" s="14" t="n"/>
      <c r="I66" s="14" t="n"/>
      <c r="J66" s="12">
        <f>IF(G66&lt;&gt;"",G66,IF(F66&lt;&gt;"",F66,0))</f>
        <v/>
      </c>
    </row>
    <row r="67">
      <c r="A67" s="14" t="n"/>
      <c r="B67" s="14" t="n"/>
      <c r="C67" s="14" t="n"/>
      <c r="D67" s="14" t="n"/>
      <c r="E67" s="14" t="n"/>
      <c r="F67" s="8" t="n"/>
      <c r="G67" s="8" t="n"/>
      <c r="H67" s="14" t="n"/>
      <c r="I67" s="14" t="n"/>
      <c r="J67" s="12">
        <f>IF(G67&lt;&gt;"",G67,IF(F67&lt;&gt;"",F67,0))</f>
        <v/>
      </c>
    </row>
    <row r="68">
      <c r="A68" s="14" t="n"/>
      <c r="B68" s="14" t="n"/>
      <c r="C68" s="14" t="n"/>
      <c r="D68" s="14" t="n"/>
      <c r="E68" s="14" t="n"/>
      <c r="F68" s="8" t="n"/>
      <c r="G68" s="8" t="n"/>
      <c r="H68" s="14" t="n"/>
      <c r="I68" s="14" t="n"/>
      <c r="J68" s="12">
        <f>IF(G68&lt;&gt;"",G68,IF(F68&lt;&gt;"",F68,0))</f>
        <v/>
      </c>
    </row>
    <row r="69">
      <c r="A69" s="14" t="n"/>
      <c r="B69" s="14" t="n"/>
      <c r="C69" s="14" t="n"/>
      <c r="D69" s="14" t="n"/>
      <c r="E69" s="14" t="n"/>
      <c r="F69" s="8" t="n"/>
      <c r="G69" s="8" t="n"/>
      <c r="H69" s="14" t="n"/>
      <c r="I69" s="14" t="n"/>
      <c r="J69" s="12">
        <f>IF(G69&lt;&gt;"",G69,IF(F69&lt;&gt;"",F69,0))</f>
        <v/>
      </c>
    </row>
    <row r="70">
      <c r="A70" s="14" t="n"/>
      <c r="B70" s="14" t="n"/>
      <c r="C70" s="14" t="n"/>
      <c r="D70" s="14" t="n"/>
      <c r="E70" s="14" t="n"/>
      <c r="F70" s="8" t="n"/>
      <c r="G70" s="8" t="n"/>
      <c r="H70" s="14" t="n"/>
      <c r="I70" s="14" t="n"/>
      <c r="J70" s="12">
        <f>IF(G70&lt;&gt;"",G70,IF(F70&lt;&gt;"",F70,0))</f>
        <v/>
      </c>
    </row>
    <row r="71">
      <c r="A71" s="14" t="n"/>
      <c r="B71" s="14" t="n"/>
      <c r="C71" s="14" t="n"/>
      <c r="D71" s="14" t="n"/>
      <c r="E71" s="14" t="n"/>
      <c r="F71" s="8" t="n"/>
      <c r="G71" s="8" t="n"/>
      <c r="H71" s="14" t="n"/>
      <c r="I71" s="14" t="n"/>
      <c r="J71" s="12">
        <f>IF(G71&lt;&gt;"",G71,IF(F71&lt;&gt;"",F71,0))</f>
        <v/>
      </c>
    </row>
    <row r="72">
      <c r="A72" s="14" t="n"/>
      <c r="B72" s="14" t="n"/>
      <c r="C72" s="14" t="n"/>
      <c r="D72" s="14" t="n"/>
      <c r="E72" s="14" t="n"/>
      <c r="F72" s="8" t="n"/>
      <c r="G72" s="8" t="n"/>
      <c r="H72" s="14" t="n"/>
      <c r="I72" s="14" t="n"/>
      <c r="J72" s="12">
        <f>IF(G72&lt;&gt;"",G72,IF(F72&lt;&gt;"",F72,0))</f>
        <v/>
      </c>
    </row>
    <row r="73">
      <c r="A73" s="14" t="n"/>
      <c r="B73" s="14" t="n"/>
      <c r="C73" s="14" t="n"/>
      <c r="D73" s="14" t="n"/>
      <c r="E73" s="14" t="n"/>
      <c r="F73" s="8" t="n"/>
      <c r="G73" s="8" t="n"/>
      <c r="H73" s="14" t="n"/>
      <c r="I73" s="14" t="n"/>
      <c r="J73" s="12">
        <f>IF(G73&lt;&gt;"",G73,IF(F73&lt;&gt;"",F73,0))</f>
        <v/>
      </c>
    </row>
    <row r="74">
      <c r="A74" s="14" t="n"/>
      <c r="B74" s="14" t="n"/>
      <c r="C74" s="14" t="n"/>
      <c r="D74" s="14" t="n"/>
      <c r="E74" s="14" t="n"/>
      <c r="F74" s="8" t="n"/>
      <c r="G74" s="8" t="n"/>
      <c r="H74" s="14" t="n"/>
      <c r="I74" s="14" t="n"/>
      <c r="J74" s="12">
        <f>IF(G74&lt;&gt;"",G74,IF(F74&lt;&gt;"",F74,0))</f>
        <v/>
      </c>
    </row>
    <row r="75">
      <c r="A75" s="14" t="n"/>
      <c r="B75" s="14" t="n"/>
      <c r="C75" s="14" t="n"/>
      <c r="D75" s="14" t="n"/>
      <c r="E75" s="14" t="n"/>
      <c r="F75" s="8" t="n"/>
      <c r="G75" s="8" t="n"/>
      <c r="H75" s="14" t="n"/>
      <c r="I75" s="14" t="n"/>
      <c r="J75" s="12">
        <f>IF(G75&lt;&gt;"",G75,IF(F75&lt;&gt;"",F75,0))</f>
        <v/>
      </c>
    </row>
    <row r="76">
      <c r="A76" s="14" t="n"/>
      <c r="B76" s="14" t="n"/>
      <c r="C76" s="14" t="n"/>
      <c r="D76" s="14" t="n"/>
      <c r="E76" s="14" t="n"/>
      <c r="F76" s="8" t="n"/>
      <c r="G76" s="8" t="n"/>
      <c r="H76" s="14" t="n"/>
      <c r="I76" s="14" t="n"/>
      <c r="J76" s="12">
        <f>IF(G76&lt;&gt;"",G76,IF(F76&lt;&gt;"",F76,0))</f>
        <v/>
      </c>
    </row>
    <row r="77">
      <c r="A77" s="14" t="n"/>
      <c r="B77" s="14" t="n"/>
      <c r="C77" s="14" t="n"/>
      <c r="D77" s="14" t="n"/>
      <c r="E77" s="14" t="n"/>
      <c r="F77" s="8" t="n"/>
      <c r="G77" s="8" t="n"/>
      <c r="H77" s="14" t="n"/>
      <c r="I77" s="14" t="n"/>
      <c r="J77" s="12">
        <f>IF(G77&lt;&gt;"",G77,IF(F77&lt;&gt;"",F77,0))</f>
        <v/>
      </c>
    </row>
    <row r="78">
      <c r="A78" s="14" t="n"/>
      <c r="B78" s="14" t="n"/>
      <c r="C78" s="14" t="n"/>
      <c r="D78" s="14" t="n"/>
      <c r="E78" s="14" t="n"/>
      <c r="F78" s="8" t="n"/>
      <c r="G78" s="8" t="n"/>
      <c r="H78" s="14" t="n"/>
      <c r="I78" s="14" t="n"/>
      <c r="J78" s="12">
        <f>IF(G78&lt;&gt;"",G78,IF(F78&lt;&gt;"",F78,0))</f>
        <v/>
      </c>
    </row>
    <row r="79">
      <c r="A79" s="14" t="n"/>
      <c r="B79" s="14" t="n"/>
      <c r="C79" s="14" t="n"/>
      <c r="D79" s="14" t="n"/>
      <c r="E79" s="14" t="n"/>
      <c r="F79" s="8" t="n"/>
      <c r="G79" s="8" t="n"/>
      <c r="H79" s="14" t="n"/>
      <c r="I79" s="14" t="n"/>
      <c r="J79" s="12">
        <f>IF(G79&lt;&gt;"",G79,IF(F79&lt;&gt;"",F79,0))</f>
        <v/>
      </c>
    </row>
    <row r="80">
      <c r="A80" s="14" t="n"/>
      <c r="B80" s="14" t="n"/>
      <c r="C80" s="14" t="n"/>
      <c r="D80" s="14" t="n"/>
      <c r="E80" s="14" t="n"/>
      <c r="F80" s="8" t="n"/>
      <c r="G80" s="8" t="n"/>
      <c r="H80" s="14" t="n"/>
      <c r="I80" s="14" t="n"/>
      <c r="J80" s="12">
        <f>IF(G80&lt;&gt;"",G80,IF(F80&lt;&gt;"",F80,0))</f>
        <v/>
      </c>
    </row>
    <row r="81">
      <c r="A81" s="14" t="n"/>
      <c r="B81" s="14" t="n"/>
      <c r="C81" s="14" t="n"/>
      <c r="D81" s="14" t="n"/>
      <c r="E81" s="14" t="n"/>
      <c r="F81" s="8" t="n"/>
      <c r="G81" s="8" t="n"/>
      <c r="H81" s="14" t="n"/>
      <c r="I81" s="14" t="n"/>
      <c r="J81" s="12">
        <f>IF(G81&lt;&gt;"",G81,IF(F81&lt;&gt;"",F81,0))</f>
        <v/>
      </c>
    </row>
    <row r="82">
      <c r="A82" s="14" t="n"/>
      <c r="B82" s="14" t="n"/>
      <c r="C82" s="14" t="n"/>
      <c r="D82" s="14" t="n"/>
      <c r="E82" s="14" t="n"/>
      <c r="F82" s="8" t="n"/>
      <c r="G82" s="8" t="n"/>
      <c r="H82" s="14" t="n"/>
      <c r="I82" s="14" t="n"/>
      <c r="J82" s="12">
        <f>IF(G82&lt;&gt;"",G82,IF(F82&lt;&gt;"",F82,0))</f>
        <v/>
      </c>
    </row>
    <row r="83">
      <c r="A83" s="14" t="n"/>
      <c r="B83" s="14" t="n"/>
      <c r="C83" s="14" t="n"/>
      <c r="D83" s="14" t="n"/>
      <c r="E83" s="14" t="n"/>
      <c r="F83" s="8" t="n"/>
      <c r="G83" s="8" t="n"/>
      <c r="H83" s="14" t="n"/>
      <c r="I83" s="14" t="n"/>
      <c r="J83" s="12">
        <f>IF(G83&lt;&gt;"",G83,IF(F83&lt;&gt;"",F83,0))</f>
        <v/>
      </c>
    </row>
    <row r="84">
      <c r="A84" s="14" t="n"/>
      <c r="B84" s="14" t="n"/>
      <c r="C84" s="14" t="n"/>
      <c r="D84" s="14" t="n"/>
      <c r="E84" s="14" t="n"/>
      <c r="F84" s="8" t="n"/>
      <c r="G84" s="8" t="n"/>
      <c r="H84" s="14" t="n"/>
      <c r="I84" s="14" t="n"/>
      <c r="J84" s="12">
        <f>IF(G84&lt;&gt;"",G84,IF(F84&lt;&gt;"",F84,0))</f>
        <v/>
      </c>
    </row>
    <row r="85">
      <c r="A85" s="14" t="n"/>
      <c r="B85" s="14" t="n"/>
      <c r="C85" s="14" t="n"/>
      <c r="D85" s="14" t="n"/>
      <c r="E85" s="14" t="n"/>
      <c r="F85" s="8" t="n"/>
      <c r="G85" s="8" t="n"/>
      <c r="H85" s="14" t="n"/>
      <c r="I85" s="14" t="n"/>
      <c r="J85" s="12">
        <f>IF(G85&lt;&gt;"",G85,IF(F85&lt;&gt;"",F85,0))</f>
        <v/>
      </c>
    </row>
    <row r="86">
      <c r="A86" s="14" t="n"/>
      <c r="B86" s="14" t="n"/>
      <c r="C86" s="14" t="n"/>
      <c r="D86" s="14" t="n"/>
      <c r="E86" s="14" t="n"/>
      <c r="F86" s="8" t="n"/>
      <c r="G86" s="8" t="n"/>
      <c r="H86" s="14" t="n"/>
      <c r="I86" s="14" t="n"/>
      <c r="J86" s="12">
        <f>IF(G86&lt;&gt;"",G86,IF(F86&lt;&gt;"",F86,0))</f>
        <v/>
      </c>
    </row>
    <row r="87">
      <c r="A87" s="14" t="n"/>
      <c r="B87" s="14" t="n"/>
      <c r="C87" s="14" t="n"/>
      <c r="D87" s="14" t="n"/>
      <c r="E87" s="14" t="n"/>
      <c r="F87" s="8" t="n"/>
      <c r="G87" s="8" t="n"/>
      <c r="H87" s="14" t="n"/>
      <c r="I87" s="14" t="n"/>
      <c r="J87" s="12">
        <f>IF(G87&lt;&gt;"",G87,IF(F87&lt;&gt;"",F87,0))</f>
        <v/>
      </c>
    </row>
    <row r="88">
      <c r="A88" s="14" t="n"/>
      <c r="B88" s="14" t="n"/>
      <c r="C88" s="14" t="n"/>
      <c r="D88" s="14" t="n"/>
      <c r="E88" s="14" t="n"/>
      <c r="F88" s="8" t="n"/>
      <c r="G88" s="8" t="n"/>
      <c r="H88" s="14" t="n"/>
      <c r="I88" s="14" t="n"/>
      <c r="J88" s="12">
        <f>IF(G88&lt;&gt;"",G88,IF(F88&lt;&gt;"",F88,0))</f>
        <v/>
      </c>
    </row>
    <row r="89">
      <c r="A89" s="14" t="n"/>
      <c r="B89" s="14" t="n"/>
      <c r="C89" s="14" t="n"/>
      <c r="D89" s="14" t="n"/>
      <c r="E89" s="14" t="n"/>
      <c r="F89" s="8" t="n"/>
      <c r="G89" s="8" t="n"/>
      <c r="H89" s="14" t="n"/>
      <c r="I89" s="14" t="n"/>
      <c r="J89" s="12">
        <f>IF(G89&lt;&gt;"",G89,IF(F89&lt;&gt;"",F89,0))</f>
        <v/>
      </c>
    </row>
    <row r="90">
      <c r="A90" s="14" t="n"/>
      <c r="B90" s="14" t="n"/>
      <c r="C90" s="14" t="n"/>
      <c r="D90" s="14" t="n"/>
      <c r="E90" s="14" t="n"/>
      <c r="F90" s="8" t="n"/>
      <c r="G90" s="8" t="n"/>
      <c r="H90" s="14" t="n"/>
      <c r="I90" s="14" t="n"/>
      <c r="J90" s="12">
        <f>IF(G90&lt;&gt;"",G90,IF(F90&lt;&gt;"",F90,0))</f>
        <v/>
      </c>
    </row>
    <row r="91">
      <c r="A91" s="14" t="n"/>
      <c r="B91" s="14" t="n"/>
      <c r="C91" s="14" t="n"/>
      <c r="D91" s="14" t="n"/>
      <c r="E91" s="14" t="n"/>
      <c r="F91" s="8" t="n"/>
      <c r="G91" s="8" t="n"/>
      <c r="H91" s="14" t="n"/>
      <c r="I91" s="14" t="n"/>
      <c r="J91" s="12">
        <f>IF(G91&lt;&gt;"",G91,IF(F91&lt;&gt;"",F91,0))</f>
        <v/>
      </c>
    </row>
    <row r="92">
      <c r="A92" s="14" t="n"/>
      <c r="B92" s="14" t="n"/>
      <c r="C92" s="14" t="n"/>
      <c r="D92" s="14" t="n"/>
      <c r="E92" s="14" t="n"/>
      <c r="F92" s="8" t="n"/>
      <c r="G92" s="8" t="n"/>
      <c r="H92" s="14" t="n"/>
      <c r="I92" s="14" t="n"/>
      <c r="J92" s="12">
        <f>IF(G92&lt;&gt;"",G92,IF(F92&lt;&gt;"",F92,0))</f>
        <v/>
      </c>
    </row>
    <row r="93">
      <c r="A93" s="14" t="n"/>
      <c r="B93" s="14" t="n"/>
      <c r="C93" s="14" t="n"/>
      <c r="D93" s="14" t="n"/>
      <c r="E93" s="14" t="n"/>
      <c r="F93" s="8" t="n"/>
      <c r="G93" s="8" t="n"/>
      <c r="H93" s="14" t="n"/>
      <c r="I93" s="14" t="n"/>
      <c r="J93" s="12">
        <f>IF(G93&lt;&gt;"",G93,IF(F93&lt;&gt;"",F93,0))</f>
        <v/>
      </c>
    </row>
    <row r="94">
      <c r="A94" s="14" t="n"/>
      <c r="B94" s="14" t="n"/>
      <c r="C94" s="14" t="n"/>
      <c r="D94" s="14" t="n"/>
      <c r="E94" s="14" t="n"/>
      <c r="F94" s="8" t="n"/>
      <c r="G94" s="8" t="n"/>
      <c r="H94" s="14" t="n"/>
      <c r="I94" s="14" t="n"/>
      <c r="J94" s="12">
        <f>IF(G94&lt;&gt;"",G94,IF(F94&lt;&gt;"",F94,0))</f>
        <v/>
      </c>
    </row>
    <row r="95">
      <c r="A95" s="14" t="n"/>
      <c r="B95" s="14" t="n"/>
      <c r="C95" s="14" t="n"/>
      <c r="D95" s="14" t="n"/>
      <c r="E95" s="14" t="n"/>
      <c r="F95" s="8" t="n"/>
      <c r="G95" s="8" t="n"/>
      <c r="H95" s="14" t="n"/>
      <c r="I95" s="14" t="n"/>
      <c r="J95" s="12">
        <f>IF(G95&lt;&gt;"",G95,IF(F95&lt;&gt;"",F95,0))</f>
        <v/>
      </c>
    </row>
    <row r="96">
      <c r="A96" s="14" t="n"/>
      <c r="B96" s="14" t="n"/>
      <c r="C96" s="14" t="n"/>
      <c r="D96" s="14" t="n"/>
      <c r="E96" s="14" t="n"/>
      <c r="F96" s="8" t="n"/>
      <c r="G96" s="8" t="n"/>
      <c r="H96" s="14" t="n"/>
      <c r="I96" s="14" t="n"/>
      <c r="J96" s="12">
        <f>IF(G96&lt;&gt;"",G96,IF(F96&lt;&gt;"",F96,0))</f>
        <v/>
      </c>
    </row>
    <row r="97">
      <c r="A97" s="14" t="n"/>
      <c r="B97" s="14" t="n"/>
      <c r="C97" s="14" t="n"/>
      <c r="D97" s="14" t="n"/>
      <c r="E97" s="14" t="n"/>
      <c r="F97" s="8" t="n"/>
      <c r="G97" s="8" t="n"/>
      <c r="H97" s="14" t="n"/>
      <c r="I97" s="14" t="n"/>
      <c r="J97" s="12">
        <f>IF(G97&lt;&gt;"",G97,IF(F97&lt;&gt;"",F97,0))</f>
        <v/>
      </c>
    </row>
    <row r="98">
      <c r="A98" s="14" t="n"/>
      <c r="B98" s="14" t="n"/>
      <c r="C98" s="14" t="n"/>
      <c r="D98" s="14" t="n"/>
      <c r="E98" s="14" t="n"/>
      <c r="F98" s="8" t="n"/>
      <c r="G98" s="8" t="n"/>
      <c r="H98" s="14" t="n"/>
      <c r="I98" s="14" t="n"/>
      <c r="J98" s="12">
        <f>IF(G98&lt;&gt;"",G98,IF(F98&lt;&gt;"",F98,0))</f>
        <v/>
      </c>
    </row>
    <row r="99">
      <c r="A99" s="14" t="n"/>
      <c r="B99" s="14" t="n"/>
      <c r="C99" s="14" t="n"/>
      <c r="D99" s="14" t="n"/>
      <c r="E99" s="14" t="n"/>
      <c r="F99" s="8" t="n"/>
      <c r="G99" s="8" t="n"/>
      <c r="H99" s="14" t="n"/>
      <c r="I99" s="14" t="n"/>
      <c r="J99" s="12">
        <f>IF(G99&lt;&gt;"",G99,IF(F99&lt;&gt;"",F99,0))</f>
        <v/>
      </c>
    </row>
    <row r="100">
      <c r="A100" s="14" t="n"/>
      <c r="B100" s="14" t="n"/>
      <c r="C100" s="14" t="n"/>
      <c r="D100" s="14" t="n"/>
      <c r="E100" s="14" t="n"/>
      <c r="F100" s="8" t="n"/>
      <c r="G100" s="8" t="n"/>
      <c r="H100" s="14" t="n"/>
      <c r="I100" s="14" t="n"/>
      <c r="J100" s="12">
        <f>IF(G100&lt;&gt;"",G100,IF(F100&lt;&gt;"",F100,0))</f>
        <v/>
      </c>
    </row>
    <row r="101">
      <c r="A101" s="14" t="n"/>
      <c r="B101" s="14" t="n"/>
      <c r="C101" s="14" t="n"/>
      <c r="D101" s="14" t="n"/>
      <c r="E101" s="14" t="n"/>
      <c r="F101" s="8" t="n"/>
      <c r="G101" s="8" t="n"/>
      <c r="H101" s="14" t="n"/>
      <c r="I101" s="14" t="n"/>
      <c r="J101" s="12">
        <f>IF(G101&lt;&gt;"",G101,IF(F101&lt;&gt;"",F101,0))</f>
        <v/>
      </c>
    </row>
    <row r="102">
      <c r="A102" s="14" t="n"/>
      <c r="B102" s="14" t="n"/>
      <c r="C102" s="14" t="n"/>
      <c r="D102" s="14" t="n"/>
      <c r="E102" s="14" t="n"/>
      <c r="F102" s="8" t="n"/>
      <c r="G102" s="8" t="n"/>
      <c r="H102" s="14" t="n"/>
      <c r="I102" s="14" t="n"/>
      <c r="J102" s="12">
        <f>IF(G102&lt;&gt;"",G102,IF(F102&lt;&gt;"",F102,0))</f>
        <v/>
      </c>
    </row>
    <row r="103">
      <c r="A103" s="14" t="n"/>
      <c r="B103" s="14" t="n"/>
      <c r="C103" s="14" t="n"/>
      <c r="D103" s="14" t="n"/>
      <c r="E103" s="14" t="n"/>
      <c r="F103" s="8" t="n"/>
      <c r="G103" s="8" t="n"/>
      <c r="H103" s="14" t="n"/>
      <c r="I103" s="14" t="n"/>
      <c r="J103" s="12">
        <f>IF(G103&lt;&gt;"",G103,IF(F103&lt;&gt;"",F103,0))</f>
        <v/>
      </c>
    </row>
    <row r="104">
      <c r="A104" s="14" t="n"/>
      <c r="B104" s="14" t="n"/>
      <c r="C104" s="14" t="n"/>
      <c r="D104" s="14" t="n"/>
      <c r="E104" s="14" t="n"/>
      <c r="F104" s="8" t="n"/>
      <c r="G104" s="8" t="n"/>
      <c r="H104" s="14" t="n"/>
      <c r="I104" s="14" t="n"/>
      <c r="J104" s="12">
        <f>IF(G104&lt;&gt;"",G104,IF(F104&lt;&gt;"",F104,0))</f>
        <v/>
      </c>
    </row>
    <row r="105">
      <c r="A105" s="14" t="n"/>
      <c r="B105" s="14" t="n"/>
      <c r="C105" s="14" t="n"/>
      <c r="D105" s="14" t="n"/>
      <c r="E105" s="14" t="n"/>
      <c r="F105" s="8" t="n"/>
      <c r="G105" s="8" t="n"/>
      <c r="H105" s="14" t="n"/>
      <c r="I105" s="14" t="n"/>
      <c r="J105" s="12">
        <f>IF(G105&lt;&gt;"",G105,IF(F105&lt;&gt;"",F105,0))</f>
        <v/>
      </c>
    </row>
    <row r="106">
      <c r="A106" s="14" t="n"/>
      <c r="B106" s="14" t="n"/>
      <c r="C106" s="14" t="n"/>
      <c r="D106" s="14" t="n"/>
      <c r="E106" s="14" t="n"/>
      <c r="F106" s="8" t="n"/>
      <c r="G106" s="8" t="n"/>
      <c r="H106" s="14" t="n"/>
      <c r="I106" s="14" t="n"/>
      <c r="J106" s="12">
        <f>IF(G106&lt;&gt;"",G106,IF(F106&lt;&gt;"",F106,0))</f>
        <v/>
      </c>
    </row>
    <row r="107">
      <c r="A107" s="14" t="n"/>
      <c r="B107" s="14" t="n"/>
      <c r="C107" s="14" t="n"/>
      <c r="D107" s="14" t="n"/>
      <c r="E107" s="14" t="n"/>
      <c r="F107" s="8" t="n"/>
      <c r="G107" s="8" t="n"/>
      <c r="H107" s="14" t="n"/>
      <c r="I107" s="14" t="n"/>
      <c r="J107" s="12">
        <f>IF(G107&lt;&gt;"",G107,IF(F107&lt;&gt;"",F107,0))</f>
        <v/>
      </c>
    </row>
    <row r="108">
      <c r="A108" s="14" t="n"/>
      <c r="B108" s="14" t="n"/>
      <c r="C108" s="14" t="n"/>
      <c r="D108" s="14" t="n"/>
      <c r="E108" s="14" t="n"/>
      <c r="F108" s="8" t="n"/>
      <c r="G108" s="8" t="n"/>
      <c r="H108" s="14" t="n"/>
      <c r="I108" s="14" t="n"/>
      <c r="J108" s="12">
        <f>IF(G108&lt;&gt;"",G108,IF(F108&lt;&gt;"",F108,0))</f>
        <v/>
      </c>
    </row>
    <row r="109">
      <c r="A109" s="14" t="n"/>
      <c r="B109" s="14" t="n"/>
      <c r="C109" s="14" t="n"/>
      <c r="D109" s="14" t="n"/>
      <c r="E109" s="14" t="n"/>
      <c r="F109" s="8" t="n"/>
      <c r="G109" s="8" t="n"/>
      <c r="H109" s="14" t="n"/>
      <c r="I109" s="14" t="n"/>
      <c r="J109" s="12">
        <f>IF(G109&lt;&gt;"",G109,IF(F109&lt;&gt;"",F109,0))</f>
        <v/>
      </c>
    </row>
    <row r="110">
      <c r="A110" s="14" t="n"/>
      <c r="B110" s="14" t="n"/>
      <c r="C110" s="14" t="n"/>
      <c r="D110" s="14" t="n"/>
      <c r="E110" s="14" t="n"/>
      <c r="F110" s="8" t="n"/>
      <c r="G110" s="8" t="n"/>
      <c r="H110" s="14" t="n"/>
      <c r="I110" s="14" t="n"/>
      <c r="J110" s="12">
        <f>IF(G110&lt;&gt;"",G110,IF(F110&lt;&gt;"",F110,0))</f>
        <v/>
      </c>
    </row>
    <row r="111">
      <c r="A111" s="14" t="n"/>
      <c r="B111" s="14" t="n"/>
      <c r="C111" s="14" t="n"/>
      <c r="D111" s="14" t="n"/>
      <c r="E111" s="14" t="n"/>
      <c r="F111" s="8" t="n"/>
      <c r="G111" s="8" t="n"/>
      <c r="H111" s="14" t="n"/>
      <c r="I111" s="14" t="n"/>
      <c r="J111" s="12">
        <f>IF(G111&lt;&gt;"",G111,IF(F111&lt;&gt;"",F111,0))</f>
        <v/>
      </c>
    </row>
    <row r="112">
      <c r="A112" s="14" t="n"/>
      <c r="B112" s="14" t="n"/>
      <c r="C112" s="14" t="n"/>
      <c r="D112" s="14" t="n"/>
      <c r="E112" s="14" t="n"/>
      <c r="F112" s="8" t="n"/>
      <c r="G112" s="8" t="n"/>
      <c r="H112" s="14" t="n"/>
      <c r="I112" s="14" t="n"/>
      <c r="J112" s="12">
        <f>IF(G112&lt;&gt;"",G112,IF(F112&lt;&gt;"",F112,0))</f>
        <v/>
      </c>
    </row>
    <row r="113">
      <c r="A113" s="14" t="n"/>
      <c r="B113" s="14" t="n"/>
      <c r="C113" s="14" t="n"/>
      <c r="D113" s="14" t="n"/>
      <c r="E113" s="14" t="n"/>
      <c r="F113" s="8" t="n"/>
      <c r="G113" s="8" t="n"/>
      <c r="H113" s="14" t="n"/>
      <c r="I113" s="14" t="n"/>
      <c r="J113" s="12">
        <f>IF(G113&lt;&gt;"",G113,IF(F113&lt;&gt;"",F113,0))</f>
        <v/>
      </c>
    </row>
    <row r="114">
      <c r="A114" s="14" t="n"/>
      <c r="B114" s="14" t="n"/>
      <c r="C114" s="14" t="n"/>
      <c r="D114" s="14" t="n"/>
      <c r="E114" s="14" t="n"/>
      <c r="F114" s="8" t="n"/>
      <c r="G114" s="8" t="n"/>
      <c r="H114" s="14" t="n"/>
      <c r="I114" s="14" t="n"/>
      <c r="J114" s="12">
        <f>IF(G114&lt;&gt;"",G114,IF(F114&lt;&gt;"",F114,0))</f>
        <v/>
      </c>
    </row>
    <row r="115">
      <c r="A115" s="14" t="n"/>
      <c r="B115" s="14" t="n"/>
      <c r="C115" s="14" t="n"/>
      <c r="D115" s="14" t="n"/>
      <c r="E115" s="14" t="n"/>
      <c r="F115" s="8" t="n"/>
      <c r="G115" s="8" t="n"/>
      <c r="H115" s="14" t="n"/>
      <c r="I115" s="14" t="n"/>
      <c r="J115" s="12">
        <f>IF(G115&lt;&gt;"",G115,IF(F115&lt;&gt;"",F115,0))</f>
        <v/>
      </c>
    </row>
    <row r="116">
      <c r="A116" s="14" t="n"/>
      <c r="B116" s="14" t="n"/>
      <c r="C116" s="14" t="n"/>
      <c r="D116" s="14" t="n"/>
      <c r="E116" s="14" t="n"/>
      <c r="F116" s="8" t="n"/>
      <c r="G116" s="8" t="n"/>
      <c r="H116" s="14" t="n"/>
      <c r="I116" s="14" t="n"/>
      <c r="J116" s="12">
        <f>IF(G116&lt;&gt;"",G116,IF(F116&lt;&gt;"",F116,0))</f>
        <v/>
      </c>
    </row>
    <row r="117">
      <c r="A117" s="14" t="n"/>
      <c r="B117" s="14" t="n"/>
      <c r="C117" s="14" t="n"/>
      <c r="D117" s="14" t="n"/>
      <c r="E117" s="14" t="n"/>
      <c r="F117" s="8" t="n"/>
      <c r="G117" s="8" t="n"/>
      <c r="H117" s="14" t="n"/>
      <c r="I117" s="14" t="n"/>
      <c r="J117" s="12">
        <f>IF(G117&lt;&gt;"",G117,IF(F117&lt;&gt;"",F117,0))</f>
        <v/>
      </c>
    </row>
    <row r="118">
      <c r="A118" s="14" t="n"/>
      <c r="B118" s="14" t="n"/>
      <c r="C118" s="14" t="n"/>
      <c r="D118" s="14" t="n"/>
      <c r="E118" s="14" t="n"/>
      <c r="F118" s="8" t="n"/>
      <c r="G118" s="8" t="n"/>
      <c r="H118" s="14" t="n"/>
      <c r="I118" s="14" t="n"/>
      <c r="J118" s="12">
        <f>IF(G118&lt;&gt;"",G118,IF(F118&lt;&gt;"",F118,0))</f>
        <v/>
      </c>
    </row>
    <row r="119">
      <c r="A119" s="14" t="n"/>
      <c r="B119" s="14" t="n"/>
      <c r="C119" s="14" t="n"/>
      <c r="D119" s="14" t="n"/>
      <c r="E119" s="14" t="n"/>
      <c r="F119" s="8" t="n"/>
      <c r="G119" s="8" t="n"/>
      <c r="H119" s="14" t="n"/>
      <c r="I119" s="14" t="n"/>
      <c r="J119" s="12">
        <f>IF(G119&lt;&gt;"",G119,IF(F119&lt;&gt;"",F119,0))</f>
        <v/>
      </c>
    </row>
    <row r="120">
      <c r="A120" s="14" t="n"/>
      <c r="B120" s="14" t="n"/>
      <c r="C120" s="14" t="n"/>
      <c r="D120" s="14" t="n"/>
      <c r="E120" s="14" t="n"/>
      <c r="F120" s="8" t="n"/>
      <c r="G120" s="8" t="n"/>
      <c r="H120" s="14" t="n"/>
      <c r="I120" s="14" t="n"/>
      <c r="J120" s="12">
        <f>IF(G120&lt;&gt;"",G120,IF(F120&lt;&gt;"",F120,0))</f>
        <v/>
      </c>
    </row>
    <row r="121">
      <c r="A121" s="14" t="n"/>
      <c r="B121" s="14" t="n"/>
      <c r="C121" s="14" t="n"/>
      <c r="D121" s="14" t="n"/>
      <c r="E121" s="14" t="n"/>
      <c r="F121" s="8" t="n"/>
      <c r="G121" s="8" t="n"/>
      <c r="H121" s="14" t="n"/>
      <c r="I121" s="14" t="n"/>
      <c r="J121" s="12">
        <f>IF(G121&lt;&gt;"",G121,IF(F121&lt;&gt;"",F121,0))</f>
        <v/>
      </c>
    </row>
    <row r="122">
      <c r="A122" s="14" t="n"/>
      <c r="B122" s="14" t="n"/>
      <c r="C122" s="14" t="n"/>
      <c r="D122" s="14" t="n"/>
      <c r="E122" s="14" t="n"/>
      <c r="F122" s="8" t="n"/>
      <c r="G122" s="8" t="n"/>
      <c r="H122" s="14" t="n"/>
      <c r="I122" s="14" t="n"/>
      <c r="J122" s="12">
        <f>IF(G122&lt;&gt;"",G122,IF(F122&lt;&gt;"",F122,0))</f>
        <v/>
      </c>
    </row>
    <row r="123">
      <c r="A123" s="14" t="n"/>
      <c r="B123" s="14" t="n"/>
      <c r="C123" s="14" t="n"/>
      <c r="D123" s="14" t="n"/>
      <c r="E123" s="14" t="n"/>
      <c r="F123" s="8" t="n"/>
      <c r="G123" s="8" t="n"/>
      <c r="H123" s="14" t="n"/>
      <c r="I123" s="14" t="n"/>
      <c r="J123" s="12">
        <f>IF(G123&lt;&gt;"",G123,IF(F123&lt;&gt;"",F123,0))</f>
        <v/>
      </c>
    </row>
    <row r="124">
      <c r="A124" s="14" t="n"/>
      <c r="B124" s="14" t="n"/>
      <c r="C124" s="14" t="n"/>
      <c r="D124" s="14" t="n"/>
      <c r="E124" s="14" t="n"/>
      <c r="F124" s="8" t="n"/>
      <c r="G124" s="8" t="n"/>
      <c r="H124" s="14" t="n"/>
      <c r="I124" s="14" t="n"/>
      <c r="J124" s="12">
        <f>IF(G124&lt;&gt;"",G124,IF(F124&lt;&gt;"",F124,0))</f>
        <v/>
      </c>
    </row>
    <row r="125">
      <c r="A125" s="14" t="n"/>
      <c r="B125" s="14" t="n"/>
      <c r="C125" s="14" t="n"/>
      <c r="D125" s="14" t="n"/>
      <c r="E125" s="14" t="n"/>
      <c r="F125" s="8" t="n"/>
      <c r="G125" s="8" t="n"/>
      <c r="H125" s="14" t="n"/>
      <c r="I125" s="14" t="n"/>
      <c r="J125" s="12">
        <f>IF(G125&lt;&gt;"",G125,IF(F125&lt;&gt;"",F125,0))</f>
        <v/>
      </c>
    </row>
    <row r="126">
      <c r="A126" s="14" t="n"/>
      <c r="B126" s="14" t="n"/>
      <c r="C126" s="14" t="n"/>
      <c r="D126" s="14" t="n"/>
      <c r="E126" s="14" t="n"/>
      <c r="F126" s="8" t="n"/>
      <c r="G126" s="8" t="n"/>
      <c r="H126" s="14" t="n"/>
      <c r="I126" s="14" t="n"/>
      <c r="J126" s="12">
        <f>IF(G126&lt;&gt;"",G126,IF(F126&lt;&gt;"",F126,0))</f>
        <v/>
      </c>
    </row>
    <row r="127">
      <c r="A127" s="14" t="n"/>
      <c r="B127" s="14" t="n"/>
      <c r="C127" s="14" t="n"/>
      <c r="D127" s="14" t="n"/>
      <c r="E127" s="14" t="n"/>
      <c r="F127" s="8" t="n"/>
      <c r="G127" s="8" t="n"/>
      <c r="H127" s="14" t="n"/>
      <c r="I127" s="14" t="n"/>
      <c r="J127" s="12">
        <f>IF(G127&lt;&gt;"",G127,IF(F127&lt;&gt;"",F127,0))</f>
        <v/>
      </c>
    </row>
    <row r="128">
      <c r="A128" s="14" t="n"/>
      <c r="B128" s="14" t="n"/>
      <c r="C128" s="14" t="n"/>
      <c r="D128" s="14" t="n"/>
      <c r="E128" s="14" t="n"/>
      <c r="F128" s="8" t="n"/>
      <c r="G128" s="8" t="n"/>
      <c r="H128" s="14" t="n"/>
      <c r="I128" s="14" t="n"/>
      <c r="J128" s="12">
        <f>IF(G128&lt;&gt;"",G128,IF(F128&lt;&gt;"",F128,0))</f>
        <v/>
      </c>
    </row>
    <row r="129">
      <c r="A129" s="14" t="n"/>
      <c r="B129" s="14" t="n"/>
      <c r="C129" s="14" t="n"/>
      <c r="D129" s="14" t="n"/>
      <c r="E129" s="14" t="n"/>
      <c r="F129" s="8" t="n"/>
      <c r="G129" s="8" t="n"/>
      <c r="H129" s="14" t="n"/>
      <c r="I129" s="14" t="n"/>
      <c r="J129" s="12">
        <f>IF(G129&lt;&gt;"",G129,IF(F129&lt;&gt;"",F129,0))</f>
        <v/>
      </c>
    </row>
    <row r="130">
      <c r="A130" s="14" t="n"/>
      <c r="B130" s="14" t="n"/>
      <c r="C130" s="14" t="n"/>
      <c r="D130" s="14" t="n"/>
      <c r="E130" s="14" t="n"/>
      <c r="F130" s="8" t="n"/>
      <c r="G130" s="8" t="n"/>
      <c r="H130" s="14" t="n"/>
      <c r="I130" s="14" t="n"/>
      <c r="J130" s="12">
        <f>IF(G130&lt;&gt;"",G130,IF(F130&lt;&gt;"",F130,0))</f>
        <v/>
      </c>
    </row>
    <row r="131">
      <c r="A131" s="14" t="n"/>
      <c r="B131" s="14" t="n"/>
      <c r="C131" s="14" t="n"/>
      <c r="D131" s="14" t="n"/>
      <c r="E131" s="14" t="n"/>
      <c r="F131" s="8" t="n"/>
      <c r="G131" s="8" t="n"/>
      <c r="H131" s="14" t="n"/>
      <c r="I131" s="14" t="n"/>
      <c r="J131" s="12">
        <f>IF(G131&lt;&gt;"",G131,IF(F131&lt;&gt;"",F131,0))</f>
        <v/>
      </c>
    </row>
    <row r="132">
      <c r="A132" s="14" t="n"/>
      <c r="B132" s="14" t="n"/>
      <c r="C132" s="14" t="n"/>
      <c r="D132" s="14" t="n"/>
      <c r="E132" s="14" t="n"/>
      <c r="F132" s="8" t="n"/>
      <c r="G132" s="8" t="n"/>
      <c r="H132" s="14" t="n"/>
      <c r="I132" s="14" t="n"/>
      <c r="J132" s="12">
        <f>IF(G132&lt;&gt;"",G132,IF(F132&lt;&gt;"",F132,0))</f>
        <v/>
      </c>
    </row>
    <row r="133">
      <c r="A133" s="14" t="n"/>
      <c r="B133" s="14" t="n"/>
      <c r="C133" s="14" t="n"/>
      <c r="D133" s="14" t="n"/>
      <c r="E133" s="14" t="n"/>
      <c r="F133" s="8" t="n"/>
      <c r="G133" s="8" t="n"/>
      <c r="H133" s="14" t="n"/>
      <c r="I133" s="14" t="n"/>
      <c r="J133" s="12">
        <f>IF(G133&lt;&gt;"",G133,IF(F133&lt;&gt;"",F133,0))</f>
        <v/>
      </c>
    </row>
    <row r="134">
      <c r="A134" s="14" t="n"/>
      <c r="B134" s="14" t="n"/>
      <c r="C134" s="14" t="n"/>
      <c r="D134" s="14" t="n"/>
      <c r="E134" s="14" t="n"/>
      <c r="F134" s="8" t="n"/>
      <c r="G134" s="8" t="n"/>
      <c r="H134" s="14" t="n"/>
      <c r="I134" s="14" t="n"/>
      <c r="J134" s="12">
        <f>IF(G134&lt;&gt;"",G134,IF(F134&lt;&gt;"",F134,0))</f>
        <v/>
      </c>
    </row>
    <row r="135">
      <c r="A135" s="14" t="n"/>
      <c r="B135" s="14" t="n"/>
      <c r="C135" s="14" t="n"/>
      <c r="D135" s="14" t="n"/>
      <c r="E135" s="14" t="n"/>
      <c r="F135" s="8" t="n"/>
      <c r="G135" s="8" t="n"/>
      <c r="H135" s="14" t="n"/>
      <c r="I135" s="14" t="n"/>
      <c r="J135" s="12">
        <f>IF(G135&lt;&gt;"",G135,IF(F135&lt;&gt;"",F135,0))</f>
        <v/>
      </c>
    </row>
    <row r="136">
      <c r="A136" s="14" t="n"/>
      <c r="B136" s="14" t="n"/>
      <c r="C136" s="14" t="n"/>
      <c r="D136" s="14" t="n"/>
      <c r="E136" s="14" t="n"/>
      <c r="F136" s="8" t="n"/>
      <c r="G136" s="8" t="n"/>
      <c r="H136" s="14" t="n"/>
      <c r="I136" s="14" t="n"/>
      <c r="J136" s="12">
        <f>IF(G136&lt;&gt;"",G136,IF(F136&lt;&gt;"",F136,0))</f>
        <v/>
      </c>
    </row>
    <row r="137">
      <c r="A137" s="14" t="n"/>
      <c r="B137" s="14" t="n"/>
      <c r="C137" s="14" t="n"/>
      <c r="D137" s="14" t="n"/>
      <c r="E137" s="14" t="n"/>
      <c r="F137" s="8" t="n"/>
      <c r="G137" s="8" t="n"/>
      <c r="H137" s="14" t="n"/>
      <c r="I137" s="14" t="n"/>
      <c r="J137" s="12">
        <f>IF(G137&lt;&gt;"",G137,IF(F137&lt;&gt;"",F137,0))</f>
        <v/>
      </c>
    </row>
    <row r="138">
      <c r="A138" s="14" t="n"/>
      <c r="B138" s="14" t="n"/>
      <c r="C138" s="14" t="n"/>
      <c r="D138" s="14" t="n"/>
      <c r="E138" s="14" t="n"/>
      <c r="F138" s="8" t="n"/>
      <c r="G138" s="8" t="n"/>
      <c r="H138" s="14" t="n"/>
      <c r="I138" s="14" t="n"/>
      <c r="J138" s="12">
        <f>IF(G138&lt;&gt;"",G138,IF(F138&lt;&gt;"",F138,0))</f>
        <v/>
      </c>
    </row>
    <row r="139">
      <c r="A139" s="14" t="n"/>
      <c r="B139" s="14" t="n"/>
      <c r="C139" s="14" t="n"/>
      <c r="D139" s="14" t="n"/>
      <c r="E139" s="14" t="n"/>
      <c r="F139" s="8" t="n"/>
      <c r="G139" s="8" t="n"/>
      <c r="H139" s="14" t="n"/>
      <c r="I139" s="14" t="n"/>
      <c r="J139" s="12">
        <f>IF(G139&lt;&gt;"",G139,IF(F139&lt;&gt;"",F139,0))</f>
        <v/>
      </c>
    </row>
    <row r="140">
      <c r="A140" s="14" t="n"/>
      <c r="B140" s="14" t="n"/>
      <c r="C140" s="14" t="n"/>
      <c r="D140" s="14" t="n"/>
      <c r="E140" s="14" t="n"/>
      <c r="F140" s="8" t="n"/>
      <c r="G140" s="8" t="n"/>
      <c r="H140" s="14" t="n"/>
      <c r="I140" s="14" t="n"/>
      <c r="J140" s="12">
        <f>IF(G140&lt;&gt;"",G140,IF(F140&lt;&gt;"",F140,0))</f>
        <v/>
      </c>
    </row>
    <row r="141">
      <c r="A141" s="14" t="n"/>
      <c r="B141" s="14" t="n"/>
      <c r="C141" s="14" t="n"/>
      <c r="D141" s="14" t="n"/>
      <c r="E141" s="14" t="n"/>
      <c r="F141" s="8" t="n"/>
      <c r="G141" s="8" t="n"/>
      <c r="H141" s="14" t="n"/>
      <c r="I141" s="14" t="n"/>
      <c r="J141" s="12">
        <f>IF(G141&lt;&gt;"",G141,IF(F141&lt;&gt;"",F141,0))</f>
        <v/>
      </c>
    </row>
    <row r="142">
      <c r="A142" s="14" t="n"/>
      <c r="B142" s="14" t="n"/>
      <c r="C142" s="14" t="n"/>
      <c r="D142" s="14" t="n"/>
      <c r="E142" s="14" t="n"/>
      <c r="F142" s="8" t="n"/>
      <c r="G142" s="8" t="n"/>
      <c r="H142" s="14" t="n"/>
      <c r="I142" s="14" t="n"/>
      <c r="J142" s="12">
        <f>IF(G142&lt;&gt;"",G142,IF(F142&lt;&gt;"",F142,0))</f>
        <v/>
      </c>
    </row>
    <row r="143">
      <c r="A143" s="14" t="n"/>
      <c r="B143" s="14" t="n"/>
      <c r="C143" s="14" t="n"/>
      <c r="D143" s="14" t="n"/>
      <c r="E143" s="14" t="n"/>
      <c r="F143" s="8" t="n"/>
      <c r="G143" s="8" t="n"/>
      <c r="H143" s="14" t="n"/>
      <c r="I143" s="14" t="n"/>
      <c r="J143" s="12">
        <f>IF(G143&lt;&gt;"",G143,IF(F143&lt;&gt;"",F143,0))</f>
        <v/>
      </c>
    </row>
    <row r="144">
      <c r="A144" s="14" t="n"/>
      <c r="B144" s="14" t="n"/>
      <c r="C144" s="14" t="n"/>
      <c r="D144" s="14" t="n"/>
      <c r="E144" s="14" t="n"/>
      <c r="F144" s="8" t="n"/>
      <c r="G144" s="8" t="n"/>
      <c r="H144" s="14" t="n"/>
      <c r="I144" s="14" t="n"/>
      <c r="J144" s="12">
        <f>IF(G144&lt;&gt;"",G144,IF(F144&lt;&gt;"",F144,0))</f>
        <v/>
      </c>
    </row>
    <row r="145">
      <c r="A145" s="14" t="n"/>
      <c r="B145" s="14" t="n"/>
      <c r="C145" s="14" t="n"/>
      <c r="D145" s="14" t="n"/>
      <c r="E145" s="14" t="n"/>
      <c r="F145" s="8" t="n"/>
      <c r="G145" s="8" t="n"/>
      <c r="H145" s="14" t="n"/>
      <c r="I145" s="14" t="n"/>
      <c r="J145" s="12">
        <f>IF(G145&lt;&gt;"",G145,IF(F145&lt;&gt;"",F145,0))</f>
        <v/>
      </c>
    </row>
    <row r="146">
      <c r="A146" s="14" t="n"/>
      <c r="B146" s="14" t="n"/>
      <c r="C146" s="14" t="n"/>
      <c r="D146" s="14" t="n"/>
      <c r="E146" s="14" t="n"/>
      <c r="F146" s="8" t="n"/>
      <c r="G146" s="8" t="n"/>
      <c r="H146" s="14" t="n"/>
      <c r="I146" s="14" t="n"/>
      <c r="J146" s="12">
        <f>IF(G146&lt;&gt;"",G146,IF(F146&lt;&gt;"",F146,0))</f>
        <v/>
      </c>
    </row>
    <row r="147">
      <c r="A147" s="14" t="n"/>
      <c r="B147" s="14" t="n"/>
      <c r="C147" s="14" t="n"/>
      <c r="D147" s="14" t="n"/>
      <c r="E147" s="14" t="n"/>
      <c r="F147" s="8" t="n"/>
      <c r="G147" s="8" t="n"/>
      <c r="H147" s="14" t="n"/>
      <c r="I147" s="14" t="n"/>
      <c r="J147" s="12">
        <f>IF(G147&lt;&gt;"",G147,IF(F147&lt;&gt;"",F147,0))</f>
        <v/>
      </c>
    </row>
    <row r="148">
      <c r="A148" s="14" t="n"/>
      <c r="B148" s="14" t="n"/>
      <c r="C148" s="14" t="n"/>
      <c r="D148" s="14" t="n"/>
      <c r="E148" s="14" t="n"/>
      <c r="F148" s="8" t="n"/>
      <c r="G148" s="8" t="n"/>
      <c r="H148" s="14" t="n"/>
      <c r="I148" s="14" t="n"/>
      <c r="J148" s="12">
        <f>IF(G148&lt;&gt;"",G148,IF(F148&lt;&gt;"",F148,0))</f>
        <v/>
      </c>
    </row>
    <row r="149">
      <c r="A149" s="14" t="n"/>
      <c r="B149" s="14" t="n"/>
      <c r="C149" s="14" t="n"/>
      <c r="D149" s="14" t="n"/>
      <c r="E149" s="14" t="n"/>
      <c r="F149" s="8" t="n"/>
      <c r="G149" s="8" t="n"/>
      <c r="H149" s="14" t="n"/>
      <c r="I149" s="14" t="n"/>
      <c r="J149" s="12">
        <f>IF(G149&lt;&gt;"",G149,IF(F149&lt;&gt;"",F149,0))</f>
        <v/>
      </c>
    </row>
    <row r="150">
      <c r="A150" s="14" t="n"/>
      <c r="B150" s="14" t="n"/>
      <c r="C150" s="14" t="n"/>
      <c r="D150" s="14" t="n"/>
      <c r="E150" s="14" t="n"/>
      <c r="F150" s="8" t="n"/>
      <c r="G150" s="8" t="n"/>
      <c r="H150" s="14" t="n"/>
      <c r="I150" s="14" t="n"/>
      <c r="J150" s="12">
        <f>IF(G150&lt;&gt;"",G150,IF(F150&lt;&gt;"",F150,0))</f>
        <v/>
      </c>
    </row>
    <row r="151">
      <c r="A151" s="14" t="n"/>
      <c r="B151" s="14" t="n"/>
      <c r="C151" s="14" t="n"/>
      <c r="D151" s="14" t="n"/>
      <c r="E151" s="14" t="n"/>
      <c r="F151" s="8" t="n"/>
      <c r="G151" s="8" t="n"/>
      <c r="H151" s="14" t="n"/>
      <c r="I151" s="14" t="n"/>
      <c r="J151" s="12">
        <f>IF(G151&lt;&gt;"",G151,IF(F151&lt;&gt;"",F151,0))</f>
        <v/>
      </c>
    </row>
  </sheetData>
  <dataValidations count="2">
    <dataValidation sqref="H2:H151" showDropDown="0" showInputMessage="0" showErrorMessage="0" allowBlank="1" type="list">
      <formula1>"Yes,No"</formula1>
    </dataValidation>
    <dataValidation sqref="F2:G151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Lumen &amp; Ledger</dc:creator>
  <dc:title xmlns:dc="http://purl.org/dc/elements/1.1/">Thanksgiving Dinner Planner (guests + oven schedule + shopping)</dc:title>
  <dcterms:created xmlns:dcterms="http://purl.org/dc/terms/" xmlns:xsi="http://www.w3.org/2001/XMLSchema-instance" xsi:type="dcterms:W3CDTF">2026-10-31T00:00:00Z</dcterms:created>
  <dcterms:modified xmlns:dcterms="http://purl.org/dc/terms/" xmlns:xsi="http://www.w3.org/2001/XMLSchema-instance" xsi:type="dcterms:W3CDTF">2026-10-31T13:31:23Z</dcterms:modified>
  <cp:lastModifiedBy>Lumen &amp; Ledger</cp:lastModifiedBy>
</cp:coreProperties>
</file>