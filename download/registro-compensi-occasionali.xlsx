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Ricevute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Paramet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yyyy-mm-dd"/>
    <numFmt numFmtId="166" formatCode="DD/MM/YYYY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0F2A3D"/>
      <sz val="16"/>
    </font>
    <font>
      <i val="1"/>
    </font>
    <font>
      <b val="1"/>
      <color rgb="000F2A3D"/>
    </font>
    <font>
      <i val="1"/>
      <color rgb="00555555"/>
    </font>
    <font>
      <b val="1"/>
      <color rgb="00FFFFFF"/>
    </font>
    <font>
      <b val="1"/>
      <color rgb="000F2A3D"/>
      <sz val="14"/>
    </font>
  </fonts>
  <fills count="4">
    <fill>
      <patternFill/>
    </fill>
    <fill>
      <patternFill patternType="gray125"/>
    </fill>
    <fill>
      <patternFill patternType="solid">
        <fgColor rgb="000F2A3D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0CCC0"/>
      </left>
      <right style="thin">
        <color rgb="00D0CCC0"/>
      </right>
      <top style="thin">
        <color rgb="00D0CCC0"/>
      </top>
      <bottom style="thin">
        <color rgb="00D0CCC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vertical="center" wrapText="1"/>
    </xf>
    <xf numFmtId="166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0" fillId="3" borderId="0" pivotButton="0" quotePrefix="0" xfId="0"/>
    <xf numFmtId="1" fontId="0" fillId="0" borderId="1" pivotButton="0" quotePrefix="0" xfId="0"/>
    <xf numFmtId="167" fontId="0" fillId="0" borderId="1" pivotButton="0" quotePrefix="0" xfId="0"/>
    <xf numFmtId="49" fontId="0" fillId="0" borderId="1" pivotButton="0" quotePrefix="0" xfId="0"/>
    <xf numFmtId="0" fontId="4" fillId="0" borderId="0" pivotButton="0" quotePrefix="0" xfId="0"/>
    <xf numFmtId="9" fontId="0" fillId="3" borderId="1" pivotButton="0" quotePrefix="0" xfId="0"/>
  </cellXfs>
  <cellStyles count="1">
    <cellStyle name="Normal" xfId="0" builtinId="0" hidden="0"/>
  </cellStyles>
  <dxfs count="4">
    <dxf>
      <font>
        <b val="1"/>
        <color rgb="00C2452D"/>
      </font>
    </dxf>
    <dxf>
      <fill>
        <patternFill patternType="solid">
          <fgColor rgb="00F6D5CE"/>
        </patternFill>
      </fill>
    </dxf>
    <dxf>
      <font>
        <b val="1"/>
        <color rgb="00B26B00"/>
      </font>
    </dxf>
    <dxf>
      <font>
        <b val="1"/>
        <color rgb="002E8B5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Compensi lordi per mese (anno selezionato)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'Riepilogo'!B20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'Riepilogo'!$A$21:$A$32</f>
            </numRef>
          </cat>
          <val>
            <numRef>
              <f>'Riepilogo'!$B$21:$B$32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19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Registro annuale compensi da lavoro autonomo occasionale</t>
        </is>
      </c>
    </row>
    <row r="2">
      <c r="A2" s="2" t="inlineStr">
        <is>
          <t>Lumen &amp; Ledger — template, licenza CC BY 4.0. Nessuna macro, nessun collegamento esterno. Regole verificate il 31/10/2026.</t>
        </is>
      </c>
    </row>
    <row r="3">
      <c r="A3" s="3" t="inlineStr"/>
    </row>
    <row r="4">
      <c r="A4" s="4" t="inlineStr">
        <is>
          <t>A COSA SERVE</t>
        </is>
      </c>
    </row>
    <row r="5">
      <c r="A5" s="3" t="inlineStr">
        <is>
          <t>Tenere in un unico posto tutte le ricevute dell'anno e sapere in ogni momento: quanto hai incassato rispetto alla soglia INPS di 5.000 €,</t>
        </is>
      </c>
    </row>
    <row r="6">
      <c r="A6" s="3" t="inlineStr">
        <is>
          <t>quante ritenute d'acconto ti sono state trattenute (da ritrovare nelle Certificazioni Uniche e da scomputare in dichiarazione), chi deve ancora pagarti.</t>
        </is>
      </c>
    </row>
    <row r="7">
      <c r="A7" s="3" t="inlineStr"/>
    </row>
    <row r="8">
      <c r="A8" s="4" t="inlineStr">
        <is>
          <t>COME SI USA</t>
        </is>
      </c>
    </row>
    <row r="9">
      <c r="A9" s="3" t="inlineStr">
        <is>
          <t>1. Foglio 'Ricevute': una riga per ricevuta. Compila solo le celle gialle. Le righe di esempio sono fittizie: cancellale o sovrascrivile.</t>
        </is>
      </c>
    </row>
    <row r="10">
      <c r="A10" s="3" t="inlineStr">
        <is>
          <t>2. Tipo committente: 'Sostituto d'imposta' (impresa, professionista, ente: trattiene il 20%) oppure 'Privato' (nessuna ritenuta).</t>
        </is>
      </c>
    </row>
    <row r="11">
      <c r="A11" s="3" t="inlineStr">
        <is>
          <t>3. Quando vieni pagato, inserisci data e importo incassato: l'anno di riferimento diventa quello dell'incasso.</t>
        </is>
      </c>
    </row>
    <row r="12">
      <c r="A12" s="3" t="inlineStr">
        <is>
          <t>4. Foglio 'Riepilogo': scegli l'anno in B2. Vedi totale, distanza dalla soglia 5.000 €, ritenute, crediti aperti, CU da ricevere, mesi e committenti.</t>
        </is>
      </c>
    </row>
    <row r="13">
      <c r="A13" s="3" t="inlineStr">
        <is>
          <t>5. Foglio 'Parametri': aliquota, bollo e soglie usati dalle formule. Se la normativa cambia, aggiorni solo li'.</t>
        </is>
      </c>
    </row>
    <row r="14">
      <c r="A14" s="3" t="inlineStr">
        <is>
          <t>Per creare e stampare le ricevute: generatore gratuito https://lumen-ledger.github.io/it/ricevuta-prestazione-occasionale/</t>
        </is>
      </c>
    </row>
    <row r="15">
      <c r="A15" s="3" t="inlineStr"/>
    </row>
    <row r="16">
      <c r="A16" s="4" t="inlineStr">
        <is>
          <t>COME CONTA LA SOGLIA DI 5.000 €</t>
        </is>
      </c>
    </row>
    <row r="17">
      <c r="A17" s="3" t="inlineStr">
        <is>
          <t>Il registro somma i compensi lordi (compenso + rimborsi spese) per anno di INCASSO; se l'incasso non e' ancora registrato usa la data della ricevuta.</t>
        </is>
      </c>
    </row>
    <row r="18">
      <c r="A18" s="3" t="inlineStr">
        <is>
          <t>E' una misura prudente: la norma parla di reddito annuo, e il reddito da lavoro occasionale e' al netto delle spese inerenti (art. 71, comma 2, TUIR).</t>
        </is>
      </c>
    </row>
    <row r="19">
      <c r="A19" s="3" t="inlineStr">
        <is>
          <t>Cosa entra esattamente nel calcolo (spese, anno di competenza) va verificato con l'INPS o con un consulente: il foglio ti avvisa, non decide.</t>
        </is>
      </c>
    </row>
    <row r="20">
      <c r="A20" s="3" t="inlineStr">
        <is>
          <t>Ricorda: 'occasionale' dipende da come lavori (abitualita', continuita', organizzazione), non solo da quanto incassi.</t>
        </is>
      </c>
    </row>
    <row r="21">
      <c r="A21" s="3" t="inlineStr"/>
    </row>
    <row r="22">
      <c r="A22" s="4" t="inlineStr">
        <is>
          <t>FONTI PRIMARIE (consultate il 31/10/2026)</t>
        </is>
      </c>
    </row>
    <row r="23">
      <c r="A23" s="3" t="inlineStr">
        <is>
          <t>• Ritenuta 20% su compensi di lavoro autonomo anche non abituale: art. 25, primo comma, DPR 600/1973 (normattiva.it).</t>
        </is>
      </c>
    </row>
    <row r="24">
      <c r="A24" s="3" t="inlineStr">
        <is>
          <t>• Imposta di bollo 2,00 € su ricevute oltre 77,47 €: DPR 642/1972, Tariffa allegato A, parte I, art. 13 e nota 2; Agenzia delle Entrate, risposta a interpello 129/2024.</t>
        </is>
      </c>
    </row>
    <row r="25">
      <c r="A25" s="3" t="inlineStr">
        <is>
          <t>• Soglia 5.000 € e Gestione separata INPS: art. 44, comma 2, DL 269/2003 (normattiva.it).</t>
        </is>
      </c>
    </row>
    <row r="26">
      <c r="A26" s="3" t="inlineStr">
        <is>
          <t>• Reddito di lavoro autonomo occasionale al netto delle spese specificamente inerenti: art. 67, comma 1, lett. l) e art. 71, comma 2, DPR 917/1986 (TUIR).</t>
        </is>
      </c>
    </row>
    <row r="27">
      <c r="A27" s="3" t="inlineStr"/>
    </row>
    <row r="28">
      <c r="A28" s="4" t="inlineStr">
        <is>
          <t>DAL 1° GENNAIO 2027 CAMBIANO I NUMERI DEGLI ARTICOLI (testi letti in Gazzetta Ufficiale e su Normattiva il 31/10/2026)</t>
        </is>
      </c>
    </row>
    <row r="29">
      <c r="A29" s="3" t="inlineStr">
        <is>
          <t>• Ritenuta 20%: art. 38, comma 1, D.Lgs. 33/2025 (Testo unico versamenti e riscossione), al posto dell'art. 25 DPR 600/1973. Decorrenza: art. 243, data 1/1/2027 (DL 200/2025).</t>
        </is>
      </c>
    </row>
    <row r="30">
      <c r="A30" s="3" t="inlineStr">
        <is>
          <t>• Compenso occasionale come reddito diverso: art. 76, comma 1, lett. t), D.Lgs. 117/2026 (nuovo TUIR), al posto dell'art. 67, comma 1, lett. l), DPR 917/1986. Decorrenza: art. 377.</t>
        </is>
      </c>
    </row>
    <row r="31">
      <c r="A31" s="3" t="inlineStr">
        <is>
          <t>• IVA, requisito di abitualita': art. 4, comma 1, D.Lgs. 10/2026 (Testo unico IVA), al posto dell'art. 5 DPR 633/1972. Decorrenza: art. 171.</t>
        </is>
      </c>
    </row>
    <row r="32">
      <c r="A32" s="3" t="inlineStr">
        <is>
          <t>• Spese specificamente inerenti (reddito = incassi meno spese): art. 80, comma 2, D.Lgs. 117/2026, al posto dell'art. 71, comma 2, DPR 917/1986. Stesso testo.</t>
        </is>
      </c>
    </row>
    <row r="33">
      <c r="A33" s="3" t="inlineStr">
        <is>
          <t>• Nei testi letti l'aliquota della ritenuta resta il 20%: le formule di questo foglio non cambiano.</t>
        </is>
      </c>
    </row>
    <row r="34">
      <c r="A34" s="3" t="inlineStr">
        <is>
          <t>• Bollo: D.Lgs. 123/2025, allegato 3, Tariffa parte I (numero dell'articolo da verificare). Soglia INPS (DL 269/2003): norma non compresa nei tre testi unici.</t>
        </is>
      </c>
    </row>
    <row r="35">
      <c r="A35" s="3" t="inlineStr">
        <is>
          <t>• Tabella completa e aggiornamenti: https://lumen-ledger.github.io/it/riferimenti-normativi-2027-ricevute/</t>
        </is>
      </c>
    </row>
    <row r="36">
      <c r="A36" s="3" t="inlineStr"/>
    </row>
    <row r="37">
      <c r="A37" s="5" t="inlineStr">
        <is>
          <t>Questo foglio e' informazione generale e strumento di calcolo, non consulenza fiscale o legale. Verifica il tuo caso con un professionista o un CAF.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8" customWidth="1" min="4" max="4"/>
    <col width="28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24" customWidth="1" min="17" max="17"/>
    <col width="8" customWidth="1" min="18" max="18"/>
    <col width="7" customWidth="1" min="19" max="19"/>
  </cols>
  <sheetData>
    <row r="1" ht="48" customHeight="1">
      <c r="A1" s="6" t="inlineStr">
        <is>
          <t>Data ricevuta</t>
        </is>
      </c>
      <c r="B1" s="6" t="inlineStr">
        <is>
          <t>N.</t>
        </is>
      </c>
      <c r="C1" s="6" t="inlineStr">
        <is>
          <t>Committente</t>
        </is>
      </c>
      <c r="D1" s="6" t="inlineStr">
        <is>
          <t>Tipo committente</t>
        </is>
      </c>
      <c r="E1" s="6" t="inlineStr">
        <is>
          <t>Descrizione prestazione</t>
        </is>
      </c>
      <c r="F1" s="6" t="inlineStr">
        <is>
          <t>Compenso €</t>
        </is>
      </c>
      <c r="G1" s="6" t="inlineStr">
        <is>
          <t>Rimborso spese €</t>
        </is>
      </c>
      <c r="H1" s="6" t="inlineStr">
        <is>
          <t>Bollo addebitato al committente?</t>
        </is>
      </c>
      <c r="I1" s="6" t="inlineStr">
        <is>
          <t>Lordo €</t>
        </is>
      </c>
      <c r="J1" s="6" t="inlineStr">
        <is>
          <t>Ritenuta subita €</t>
        </is>
      </c>
      <c r="K1" s="6" t="inlineStr">
        <is>
          <t>Bollo 2 € dovuto?</t>
        </is>
      </c>
      <c r="L1" s="6" t="inlineStr">
        <is>
          <t>Netto atteso €</t>
        </is>
      </c>
      <c r="M1" s="6" t="inlineStr">
        <is>
          <t>Data incasso</t>
        </is>
      </c>
      <c r="N1" s="6" t="inlineStr">
        <is>
          <t>Importo incassato €</t>
        </is>
      </c>
      <c r="O1" s="6" t="inlineStr">
        <is>
          <t>Da incassare €</t>
        </is>
      </c>
      <c r="P1" s="6" t="inlineStr">
        <is>
          <t>CU ricevuta?</t>
        </is>
      </c>
      <c r="Q1" s="6" t="inlineStr">
        <is>
          <t>Note</t>
        </is>
      </c>
      <c r="R1" s="6" t="inlineStr">
        <is>
          <t>Anno rif.</t>
        </is>
      </c>
      <c r="S1" s="6" t="inlineStr">
        <is>
          <t>Mese rif.</t>
        </is>
      </c>
    </row>
    <row r="2">
      <c r="A2" s="7" t="n">
        <v>46091</v>
      </c>
      <c r="B2" s="8" t="inlineStr">
        <is>
          <t>1</t>
        </is>
      </c>
      <c r="C2" s="8" t="inlineStr">
        <is>
          <t>Esempio Srl</t>
        </is>
      </c>
      <c r="D2" s="8" t="inlineStr">
        <is>
          <t>Sostituto d'imposta</t>
        </is>
      </c>
      <c r="E2" s="8" t="inlineStr">
        <is>
          <t>Traduzione catalogo</t>
        </is>
      </c>
      <c r="F2" s="9" t="n">
        <v>500</v>
      </c>
      <c r="G2" s="9" t="n">
        <v>0</v>
      </c>
      <c r="H2" s="8" t="inlineStr">
        <is>
          <t>No</t>
        </is>
      </c>
      <c r="I2" s="10">
        <f>IF(OR(F2&lt;&gt;"",G2&lt;&gt;""),ROUND(N(F2)+N(G2),2),"")</f>
        <v/>
      </c>
      <c r="J2" s="10">
        <f>IF(I2="","",IF(D2="Sostituto d'imposta",ROUND(I2*Parametri!$B$2,2),0))</f>
        <v/>
      </c>
      <c r="K2" s="11">
        <f>IF(I2="","",IF(I2&gt;Parametri!$B$4,"Si","No"))</f>
        <v/>
      </c>
      <c r="L2" s="10">
        <f>IF(I2="","",I2-J2+IF(AND(K2="Si",H2="Si"),Parametri!$B$3,0))</f>
        <v/>
      </c>
      <c r="M2" s="7" t="n">
        <v>46112</v>
      </c>
      <c r="N2" s="9" t="n">
        <v>400</v>
      </c>
      <c r="O2" s="10">
        <f>IF(L2="","",ROUND(L2-N(N2),2))</f>
        <v/>
      </c>
      <c r="P2" s="8" t="inlineStr">
        <is>
          <t>Si</t>
        </is>
      </c>
      <c r="Q2" s="8" t="n"/>
      <c r="R2" s="11">
        <f>IF(I2="","",IF(M2&lt;&gt;"",YEAR(M2),IF(A2&lt;&gt;"",YEAR(A2),"")))</f>
        <v/>
      </c>
      <c r="S2" s="11">
        <f>IF(I2="","",IF(M2&lt;&gt;"",MONTH(M2),IF(A2&lt;&gt;"",MONTH(A2),"")))</f>
        <v/>
      </c>
    </row>
    <row r="3">
      <c r="A3" s="7" t="n">
        <v>46175</v>
      </c>
      <c r="B3" s="8" t="inlineStr">
        <is>
          <t>2</t>
        </is>
      </c>
      <c r="C3" s="8" t="inlineStr">
        <is>
          <t>Mario Esempio</t>
        </is>
      </c>
      <c r="D3" s="8" t="inlineStr">
        <is>
          <t>Privato</t>
        </is>
      </c>
      <c r="E3" s="8" t="inlineStr">
        <is>
          <t>Lezioni private</t>
        </is>
      </c>
      <c r="F3" s="9" t="n">
        <v>300</v>
      </c>
      <c r="G3" s="9" t="n">
        <v>0</v>
      </c>
      <c r="H3" s="8" t="inlineStr">
        <is>
          <t>No</t>
        </is>
      </c>
      <c r="I3" s="10">
        <f>IF(OR(F3&lt;&gt;"",G3&lt;&gt;""),ROUND(N(F3)+N(G3),2),"")</f>
        <v/>
      </c>
      <c r="J3" s="10">
        <f>IF(I3="","",IF(D3="Sostituto d'imposta",ROUND(I3*Parametri!$B$2,2),0))</f>
        <v/>
      </c>
      <c r="K3" s="11">
        <f>IF(I3="","",IF(I3&gt;Parametri!$B$4,"Si","No"))</f>
        <v/>
      </c>
      <c r="L3" s="10">
        <f>IF(I3="","",I3-J3+IF(AND(K3="Si",H3="Si"),Parametri!$B$3,0))</f>
        <v/>
      </c>
      <c r="M3" s="7" t="n">
        <v>46175</v>
      </c>
      <c r="N3" s="9" t="n">
        <v>300</v>
      </c>
      <c r="O3" s="10">
        <f>IF(L3="","",ROUND(L3-N(N3),2))</f>
        <v/>
      </c>
      <c r="P3" s="8" t="n"/>
      <c r="Q3" s="8" t="n"/>
      <c r="R3" s="11">
        <f>IF(I3="","",IF(M3&lt;&gt;"",YEAR(M3),IF(A3&lt;&gt;"",YEAR(A3),"")))</f>
        <v/>
      </c>
      <c r="S3" s="11">
        <f>IF(I3="","",IF(M3&lt;&gt;"",MONTH(M3),IF(A3&lt;&gt;"",MONTH(A3),"")))</f>
        <v/>
      </c>
    </row>
    <row r="4">
      <c r="A4" s="7" t="n">
        <v>46280</v>
      </c>
      <c r="B4" s="8" t="inlineStr">
        <is>
          <t>3</t>
        </is>
      </c>
      <c r="C4" s="8" t="inlineStr">
        <is>
          <t>Esempio Srl</t>
        </is>
      </c>
      <c r="D4" s="8" t="inlineStr">
        <is>
          <t>Sostituto d'imposta</t>
        </is>
      </c>
      <c r="E4" s="8" t="inlineStr">
        <is>
          <t>Revisione testi</t>
        </is>
      </c>
      <c r="F4" s="9" t="n">
        <v>1000</v>
      </c>
      <c r="G4" s="9" t="n">
        <v>50</v>
      </c>
      <c r="H4" s="8" t="inlineStr">
        <is>
          <t>Si</t>
        </is>
      </c>
      <c r="I4" s="10">
        <f>IF(OR(F4&lt;&gt;"",G4&lt;&gt;""),ROUND(N(F4)+N(G4),2),"")</f>
        <v/>
      </c>
      <c r="J4" s="10">
        <f>IF(I4="","",IF(D4="Sostituto d'imposta",ROUND(I4*Parametri!$B$2,2),0))</f>
        <v/>
      </c>
      <c r="K4" s="11">
        <f>IF(I4="","",IF(I4&gt;Parametri!$B$4,"Si","No"))</f>
        <v/>
      </c>
      <c r="L4" s="10">
        <f>IF(I4="","",I4-J4+IF(AND(K4="Si",H4="Si"),Parametri!$B$3,0))</f>
        <v/>
      </c>
      <c r="M4" s="7" t="n"/>
      <c r="N4" s="9" t="n"/>
      <c r="O4" s="10">
        <f>IF(L4="","",ROUND(L4-N(N4),2))</f>
        <v/>
      </c>
      <c r="P4" s="8" t="inlineStr">
        <is>
          <t>No</t>
        </is>
      </c>
      <c r="Q4" s="8" t="n"/>
      <c r="R4" s="11">
        <f>IF(I4="","",IF(M4&lt;&gt;"",YEAR(M4),IF(A4&lt;&gt;"",YEAR(A4),"")))</f>
        <v/>
      </c>
      <c r="S4" s="11">
        <f>IF(I4="","",IF(M4&lt;&gt;"",MONTH(M4),IF(A4&lt;&gt;"",MONTH(A4),"")))</f>
        <v/>
      </c>
    </row>
    <row r="5">
      <c r="A5" s="7" t="n"/>
      <c r="B5" s="8" t="n"/>
      <c r="C5" s="8" t="n"/>
      <c r="D5" s="8" t="n"/>
      <c r="E5" s="8" t="n"/>
      <c r="F5" s="9" t="n"/>
      <c r="G5" s="9" t="n"/>
      <c r="H5" s="8" t="n"/>
      <c r="I5" s="10">
        <f>IF(OR(F5&lt;&gt;"",G5&lt;&gt;""),ROUND(N(F5)+N(G5),2),"")</f>
        <v/>
      </c>
      <c r="J5" s="10">
        <f>IF(I5="","",IF(D5="Sostituto d'imposta",ROUND(I5*Parametri!$B$2,2),0))</f>
        <v/>
      </c>
      <c r="K5" s="11">
        <f>IF(I5="","",IF(I5&gt;Parametri!$B$4,"Si","No"))</f>
        <v/>
      </c>
      <c r="L5" s="10">
        <f>IF(I5="","",I5-J5+IF(AND(K5="Si",H5="Si"),Parametri!$B$3,0))</f>
        <v/>
      </c>
      <c r="M5" s="7" t="n"/>
      <c r="N5" s="9" t="n"/>
      <c r="O5" s="10">
        <f>IF(L5="","",ROUND(L5-N(N5),2))</f>
        <v/>
      </c>
      <c r="P5" s="8" t="n"/>
      <c r="Q5" s="8" t="n"/>
      <c r="R5" s="11">
        <f>IF(I5="","",IF(M5&lt;&gt;"",YEAR(M5),IF(A5&lt;&gt;"",YEAR(A5),"")))</f>
        <v/>
      </c>
      <c r="S5" s="11">
        <f>IF(I5="","",IF(M5&lt;&gt;"",MONTH(M5),IF(A5&lt;&gt;"",MONTH(A5),"")))</f>
        <v/>
      </c>
    </row>
    <row r="6">
      <c r="A6" s="7" t="n"/>
      <c r="B6" s="8" t="n"/>
      <c r="C6" s="8" t="n"/>
      <c r="D6" s="8" t="n"/>
      <c r="E6" s="8" t="n"/>
      <c r="F6" s="9" t="n"/>
      <c r="G6" s="9" t="n"/>
      <c r="H6" s="8" t="n"/>
      <c r="I6" s="10">
        <f>IF(OR(F6&lt;&gt;"",G6&lt;&gt;""),ROUND(N(F6)+N(G6),2),"")</f>
        <v/>
      </c>
      <c r="J6" s="10">
        <f>IF(I6="","",IF(D6="Sostituto d'imposta",ROUND(I6*Parametri!$B$2,2),0))</f>
        <v/>
      </c>
      <c r="K6" s="11">
        <f>IF(I6="","",IF(I6&gt;Parametri!$B$4,"Si","No"))</f>
        <v/>
      </c>
      <c r="L6" s="10">
        <f>IF(I6="","",I6-J6+IF(AND(K6="Si",H6="Si"),Parametri!$B$3,0))</f>
        <v/>
      </c>
      <c r="M6" s="7" t="n"/>
      <c r="N6" s="9" t="n"/>
      <c r="O6" s="10">
        <f>IF(L6="","",ROUND(L6-N(N6),2))</f>
        <v/>
      </c>
      <c r="P6" s="8" t="n"/>
      <c r="Q6" s="8" t="n"/>
      <c r="R6" s="11">
        <f>IF(I6="","",IF(M6&lt;&gt;"",YEAR(M6),IF(A6&lt;&gt;"",YEAR(A6),"")))</f>
        <v/>
      </c>
      <c r="S6" s="11">
        <f>IF(I6="","",IF(M6&lt;&gt;"",MONTH(M6),IF(A6&lt;&gt;"",MONTH(A6),"")))</f>
        <v/>
      </c>
    </row>
    <row r="7">
      <c r="A7" s="7" t="n"/>
      <c r="B7" s="8" t="n"/>
      <c r="C7" s="8" t="n"/>
      <c r="D7" s="8" t="n"/>
      <c r="E7" s="8" t="n"/>
      <c r="F7" s="9" t="n"/>
      <c r="G7" s="9" t="n"/>
      <c r="H7" s="8" t="n"/>
      <c r="I7" s="10">
        <f>IF(OR(F7&lt;&gt;"",G7&lt;&gt;""),ROUND(N(F7)+N(G7),2),"")</f>
        <v/>
      </c>
      <c r="J7" s="10">
        <f>IF(I7="","",IF(D7="Sostituto d'imposta",ROUND(I7*Parametri!$B$2,2),0))</f>
        <v/>
      </c>
      <c r="K7" s="11">
        <f>IF(I7="","",IF(I7&gt;Parametri!$B$4,"Si","No"))</f>
        <v/>
      </c>
      <c r="L7" s="10">
        <f>IF(I7="","",I7-J7+IF(AND(K7="Si",H7="Si"),Parametri!$B$3,0))</f>
        <v/>
      </c>
      <c r="M7" s="7" t="n"/>
      <c r="N7" s="9" t="n"/>
      <c r="O7" s="10">
        <f>IF(L7="","",ROUND(L7-N(N7),2))</f>
        <v/>
      </c>
      <c r="P7" s="8" t="n"/>
      <c r="Q7" s="8" t="n"/>
      <c r="R7" s="11">
        <f>IF(I7="","",IF(M7&lt;&gt;"",YEAR(M7),IF(A7&lt;&gt;"",YEAR(A7),"")))</f>
        <v/>
      </c>
      <c r="S7" s="11">
        <f>IF(I7="","",IF(M7&lt;&gt;"",MONTH(M7),IF(A7&lt;&gt;"",MONTH(A7),"")))</f>
        <v/>
      </c>
    </row>
    <row r="8">
      <c r="A8" s="7" t="n"/>
      <c r="B8" s="8" t="n"/>
      <c r="C8" s="8" t="n"/>
      <c r="D8" s="8" t="n"/>
      <c r="E8" s="8" t="n"/>
      <c r="F8" s="9" t="n"/>
      <c r="G8" s="9" t="n"/>
      <c r="H8" s="8" t="n"/>
      <c r="I8" s="10">
        <f>IF(OR(F8&lt;&gt;"",G8&lt;&gt;""),ROUND(N(F8)+N(G8),2),"")</f>
        <v/>
      </c>
      <c r="J8" s="10">
        <f>IF(I8="","",IF(D8="Sostituto d'imposta",ROUND(I8*Parametri!$B$2,2),0))</f>
        <v/>
      </c>
      <c r="K8" s="11">
        <f>IF(I8="","",IF(I8&gt;Parametri!$B$4,"Si","No"))</f>
        <v/>
      </c>
      <c r="L8" s="10">
        <f>IF(I8="","",I8-J8+IF(AND(K8="Si",H8="Si"),Parametri!$B$3,0))</f>
        <v/>
      </c>
      <c r="M8" s="7" t="n"/>
      <c r="N8" s="9" t="n"/>
      <c r="O8" s="10">
        <f>IF(L8="","",ROUND(L8-N(N8),2))</f>
        <v/>
      </c>
      <c r="P8" s="8" t="n"/>
      <c r="Q8" s="8" t="n"/>
      <c r="R8" s="11">
        <f>IF(I8="","",IF(M8&lt;&gt;"",YEAR(M8),IF(A8&lt;&gt;"",YEAR(A8),"")))</f>
        <v/>
      </c>
      <c r="S8" s="11">
        <f>IF(I8="","",IF(M8&lt;&gt;"",MONTH(M8),IF(A8&lt;&gt;"",MONTH(A8),"")))</f>
        <v/>
      </c>
    </row>
    <row r="9">
      <c r="A9" s="7" t="n"/>
      <c r="B9" s="8" t="n"/>
      <c r="C9" s="8" t="n"/>
      <c r="D9" s="8" t="n"/>
      <c r="E9" s="8" t="n"/>
      <c r="F9" s="9" t="n"/>
      <c r="G9" s="9" t="n"/>
      <c r="H9" s="8" t="n"/>
      <c r="I9" s="10">
        <f>IF(OR(F9&lt;&gt;"",G9&lt;&gt;""),ROUND(N(F9)+N(G9),2),"")</f>
        <v/>
      </c>
      <c r="J9" s="10">
        <f>IF(I9="","",IF(D9="Sostituto d'imposta",ROUND(I9*Parametri!$B$2,2),0))</f>
        <v/>
      </c>
      <c r="K9" s="11">
        <f>IF(I9="","",IF(I9&gt;Parametri!$B$4,"Si","No"))</f>
        <v/>
      </c>
      <c r="L9" s="10">
        <f>IF(I9="","",I9-J9+IF(AND(K9="Si",H9="Si"),Parametri!$B$3,0))</f>
        <v/>
      </c>
      <c r="M9" s="7" t="n"/>
      <c r="N9" s="9" t="n"/>
      <c r="O9" s="10">
        <f>IF(L9="","",ROUND(L9-N(N9),2))</f>
        <v/>
      </c>
      <c r="P9" s="8" t="n"/>
      <c r="Q9" s="8" t="n"/>
      <c r="R9" s="11">
        <f>IF(I9="","",IF(M9&lt;&gt;"",YEAR(M9),IF(A9&lt;&gt;"",YEAR(A9),"")))</f>
        <v/>
      </c>
      <c r="S9" s="11">
        <f>IF(I9="","",IF(M9&lt;&gt;"",MONTH(M9),IF(A9&lt;&gt;"",MONTH(A9),"")))</f>
        <v/>
      </c>
    </row>
    <row r="10">
      <c r="A10" s="7" t="n"/>
      <c r="B10" s="8" t="n"/>
      <c r="C10" s="8" t="n"/>
      <c r="D10" s="8" t="n"/>
      <c r="E10" s="8" t="n"/>
      <c r="F10" s="9" t="n"/>
      <c r="G10" s="9" t="n"/>
      <c r="H10" s="8" t="n"/>
      <c r="I10" s="10">
        <f>IF(OR(F10&lt;&gt;"",G10&lt;&gt;""),ROUND(N(F10)+N(G10),2),"")</f>
        <v/>
      </c>
      <c r="J10" s="10">
        <f>IF(I10="","",IF(D10="Sostituto d'imposta",ROUND(I10*Parametri!$B$2,2),0))</f>
        <v/>
      </c>
      <c r="K10" s="11">
        <f>IF(I10="","",IF(I10&gt;Parametri!$B$4,"Si","No"))</f>
        <v/>
      </c>
      <c r="L10" s="10">
        <f>IF(I10="","",I10-J10+IF(AND(K10="Si",H10="Si"),Parametri!$B$3,0))</f>
        <v/>
      </c>
      <c r="M10" s="7" t="n"/>
      <c r="N10" s="9" t="n"/>
      <c r="O10" s="10">
        <f>IF(L10="","",ROUND(L10-N(N10),2))</f>
        <v/>
      </c>
      <c r="P10" s="8" t="n"/>
      <c r="Q10" s="8" t="n"/>
      <c r="R10" s="11">
        <f>IF(I10="","",IF(M10&lt;&gt;"",YEAR(M10),IF(A10&lt;&gt;"",YEAR(A10),"")))</f>
        <v/>
      </c>
      <c r="S10" s="11">
        <f>IF(I10="","",IF(M10&lt;&gt;"",MONTH(M10),IF(A10&lt;&gt;"",MONTH(A10),"")))</f>
        <v/>
      </c>
    </row>
    <row r="11">
      <c r="A11" s="7" t="n"/>
      <c r="B11" s="8" t="n"/>
      <c r="C11" s="8" t="n"/>
      <c r="D11" s="8" t="n"/>
      <c r="E11" s="8" t="n"/>
      <c r="F11" s="9" t="n"/>
      <c r="G11" s="9" t="n"/>
      <c r="H11" s="8" t="n"/>
      <c r="I11" s="10">
        <f>IF(OR(F11&lt;&gt;"",G11&lt;&gt;""),ROUND(N(F11)+N(G11),2),"")</f>
        <v/>
      </c>
      <c r="J11" s="10">
        <f>IF(I11="","",IF(D11="Sostituto d'imposta",ROUND(I11*Parametri!$B$2,2),0))</f>
        <v/>
      </c>
      <c r="K11" s="11">
        <f>IF(I11="","",IF(I11&gt;Parametri!$B$4,"Si","No"))</f>
        <v/>
      </c>
      <c r="L11" s="10">
        <f>IF(I11="","",I11-J11+IF(AND(K11="Si",H11="Si"),Parametri!$B$3,0))</f>
        <v/>
      </c>
      <c r="M11" s="7" t="n"/>
      <c r="N11" s="9" t="n"/>
      <c r="O11" s="10">
        <f>IF(L11="","",ROUND(L11-N(N11),2))</f>
        <v/>
      </c>
      <c r="P11" s="8" t="n"/>
      <c r="Q11" s="8" t="n"/>
      <c r="R11" s="11">
        <f>IF(I11="","",IF(M11&lt;&gt;"",YEAR(M11),IF(A11&lt;&gt;"",YEAR(A11),"")))</f>
        <v/>
      </c>
      <c r="S11" s="11">
        <f>IF(I11="","",IF(M11&lt;&gt;"",MONTH(M11),IF(A11&lt;&gt;"",MONTH(A11),"")))</f>
        <v/>
      </c>
    </row>
    <row r="12">
      <c r="A12" s="7" t="n"/>
      <c r="B12" s="8" t="n"/>
      <c r="C12" s="8" t="n"/>
      <c r="D12" s="8" t="n"/>
      <c r="E12" s="8" t="n"/>
      <c r="F12" s="9" t="n"/>
      <c r="G12" s="9" t="n"/>
      <c r="H12" s="8" t="n"/>
      <c r="I12" s="10">
        <f>IF(OR(F12&lt;&gt;"",G12&lt;&gt;""),ROUND(N(F12)+N(G12),2),"")</f>
        <v/>
      </c>
      <c r="J12" s="10">
        <f>IF(I12="","",IF(D12="Sostituto d'imposta",ROUND(I12*Parametri!$B$2,2),0))</f>
        <v/>
      </c>
      <c r="K12" s="11">
        <f>IF(I12="","",IF(I12&gt;Parametri!$B$4,"Si","No"))</f>
        <v/>
      </c>
      <c r="L12" s="10">
        <f>IF(I12="","",I12-J12+IF(AND(K12="Si",H12="Si"),Parametri!$B$3,0))</f>
        <v/>
      </c>
      <c r="M12" s="7" t="n"/>
      <c r="N12" s="9" t="n"/>
      <c r="O12" s="10">
        <f>IF(L12="","",ROUND(L12-N(N12),2))</f>
        <v/>
      </c>
      <c r="P12" s="8" t="n"/>
      <c r="Q12" s="8" t="n"/>
      <c r="R12" s="11">
        <f>IF(I12="","",IF(M12&lt;&gt;"",YEAR(M12),IF(A12&lt;&gt;"",YEAR(A12),"")))</f>
        <v/>
      </c>
      <c r="S12" s="11">
        <f>IF(I12="","",IF(M12&lt;&gt;"",MONTH(M12),IF(A12&lt;&gt;"",MONTH(A12),"")))</f>
        <v/>
      </c>
    </row>
    <row r="13">
      <c r="A13" s="7" t="n"/>
      <c r="B13" s="8" t="n"/>
      <c r="C13" s="8" t="n"/>
      <c r="D13" s="8" t="n"/>
      <c r="E13" s="8" t="n"/>
      <c r="F13" s="9" t="n"/>
      <c r="G13" s="9" t="n"/>
      <c r="H13" s="8" t="n"/>
      <c r="I13" s="10">
        <f>IF(OR(F13&lt;&gt;"",G13&lt;&gt;""),ROUND(N(F13)+N(G13),2),"")</f>
        <v/>
      </c>
      <c r="J13" s="10">
        <f>IF(I13="","",IF(D13="Sostituto d'imposta",ROUND(I13*Parametri!$B$2,2),0))</f>
        <v/>
      </c>
      <c r="K13" s="11">
        <f>IF(I13="","",IF(I13&gt;Parametri!$B$4,"Si","No"))</f>
        <v/>
      </c>
      <c r="L13" s="10">
        <f>IF(I13="","",I13-J13+IF(AND(K13="Si",H13="Si"),Parametri!$B$3,0))</f>
        <v/>
      </c>
      <c r="M13" s="7" t="n"/>
      <c r="N13" s="9" t="n"/>
      <c r="O13" s="10">
        <f>IF(L13="","",ROUND(L13-N(N13),2))</f>
        <v/>
      </c>
      <c r="P13" s="8" t="n"/>
      <c r="Q13" s="8" t="n"/>
      <c r="R13" s="11">
        <f>IF(I13="","",IF(M13&lt;&gt;"",YEAR(M13),IF(A13&lt;&gt;"",YEAR(A13),"")))</f>
        <v/>
      </c>
      <c r="S13" s="11">
        <f>IF(I13="","",IF(M13&lt;&gt;"",MONTH(M13),IF(A13&lt;&gt;"",MONTH(A13),"")))</f>
        <v/>
      </c>
    </row>
    <row r="14">
      <c r="A14" s="7" t="n"/>
      <c r="B14" s="8" t="n"/>
      <c r="C14" s="8" t="n"/>
      <c r="D14" s="8" t="n"/>
      <c r="E14" s="8" t="n"/>
      <c r="F14" s="9" t="n"/>
      <c r="G14" s="9" t="n"/>
      <c r="H14" s="8" t="n"/>
      <c r="I14" s="10">
        <f>IF(OR(F14&lt;&gt;"",G14&lt;&gt;""),ROUND(N(F14)+N(G14),2),"")</f>
        <v/>
      </c>
      <c r="J14" s="10">
        <f>IF(I14="","",IF(D14="Sostituto d'imposta",ROUND(I14*Parametri!$B$2,2),0))</f>
        <v/>
      </c>
      <c r="K14" s="11">
        <f>IF(I14="","",IF(I14&gt;Parametri!$B$4,"Si","No"))</f>
        <v/>
      </c>
      <c r="L14" s="10">
        <f>IF(I14="","",I14-J14+IF(AND(K14="Si",H14="Si"),Parametri!$B$3,0))</f>
        <v/>
      </c>
      <c r="M14" s="7" t="n"/>
      <c r="N14" s="9" t="n"/>
      <c r="O14" s="10">
        <f>IF(L14="","",ROUND(L14-N(N14),2))</f>
        <v/>
      </c>
      <c r="P14" s="8" t="n"/>
      <c r="Q14" s="8" t="n"/>
      <c r="R14" s="11">
        <f>IF(I14="","",IF(M14&lt;&gt;"",YEAR(M14),IF(A14&lt;&gt;"",YEAR(A14),"")))</f>
        <v/>
      </c>
      <c r="S14" s="11">
        <f>IF(I14="","",IF(M14&lt;&gt;"",MONTH(M14),IF(A14&lt;&gt;"",MONTH(A14),"")))</f>
        <v/>
      </c>
    </row>
    <row r="15">
      <c r="A15" s="7" t="n"/>
      <c r="B15" s="8" t="n"/>
      <c r="C15" s="8" t="n"/>
      <c r="D15" s="8" t="n"/>
      <c r="E15" s="8" t="n"/>
      <c r="F15" s="9" t="n"/>
      <c r="G15" s="9" t="n"/>
      <c r="H15" s="8" t="n"/>
      <c r="I15" s="10">
        <f>IF(OR(F15&lt;&gt;"",G15&lt;&gt;""),ROUND(N(F15)+N(G15),2),"")</f>
        <v/>
      </c>
      <c r="J15" s="10">
        <f>IF(I15="","",IF(D15="Sostituto d'imposta",ROUND(I15*Parametri!$B$2,2),0))</f>
        <v/>
      </c>
      <c r="K15" s="11">
        <f>IF(I15="","",IF(I15&gt;Parametri!$B$4,"Si","No"))</f>
        <v/>
      </c>
      <c r="L15" s="10">
        <f>IF(I15="","",I15-J15+IF(AND(K15="Si",H15="Si"),Parametri!$B$3,0))</f>
        <v/>
      </c>
      <c r="M15" s="7" t="n"/>
      <c r="N15" s="9" t="n"/>
      <c r="O15" s="10">
        <f>IF(L15="","",ROUND(L15-N(N15),2))</f>
        <v/>
      </c>
      <c r="P15" s="8" t="n"/>
      <c r="Q15" s="8" t="n"/>
      <c r="R15" s="11">
        <f>IF(I15="","",IF(M15&lt;&gt;"",YEAR(M15),IF(A15&lt;&gt;"",YEAR(A15),"")))</f>
        <v/>
      </c>
      <c r="S15" s="11">
        <f>IF(I15="","",IF(M15&lt;&gt;"",MONTH(M15),IF(A15&lt;&gt;"",MONTH(A15),"")))</f>
        <v/>
      </c>
    </row>
    <row r="16">
      <c r="A16" s="7" t="n"/>
      <c r="B16" s="8" t="n"/>
      <c r="C16" s="8" t="n"/>
      <c r="D16" s="8" t="n"/>
      <c r="E16" s="8" t="n"/>
      <c r="F16" s="9" t="n"/>
      <c r="G16" s="9" t="n"/>
      <c r="H16" s="8" t="n"/>
      <c r="I16" s="10">
        <f>IF(OR(F16&lt;&gt;"",G16&lt;&gt;""),ROUND(N(F16)+N(G16),2),"")</f>
        <v/>
      </c>
      <c r="J16" s="10">
        <f>IF(I16="","",IF(D16="Sostituto d'imposta",ROUND(I16*Parametri!$B$2,2),0))</f>
        <v/>
      </c>
      <c r="K16" s="11">
        <f>IF(I16="","",IF(I16&gt;Parametri!$B$4,"Si","No"))</f>
        <v/>
      </c>
      <c r="L16" s="10">
        <f>IF(I16="","",I16-J16+IF(AND(K16="Si",H16="Si"),Parametri!$B$3,0))</f>
        <v/>
      </c>
      <c r="M16" s="7" t="n"/>
      <c r="N16" s="9" t="n"/>
      <c r="O16" s="10">
        <f>IF(L16="","",ROUND(L16-N(N16),2))</f>
        <v/>
      </c>
      <c r="P16" s="8" t="n"/>
      <c r="Q16" s="8" t="n"/>
      <c r="R16" s="11">
        <f>IF(I16="","",IF(M16&lt;&gt;"",YEAR(M16),IF(A16&lt;&gt;"",YEAR(A16),"")))</f>
        <v/>
      </c>
      <c r="S16" s="11">
        <f>IF(I16="","",IF(M16&lt;&gt;"",MONTH(M16),IF(A16&lt;&gt;"",MONTH(A16),"")))</f>
        <v/>
      </c>
    </row>
    <row r="17">
      <c r="A17" s="7" t="n"/>
      <c r="B17" s="8" t="n"/>
      <c r="C17" s="8" t="n"/>
      <c r="D17" s="8" t="n"/>
      <c r="E17" s="8" t="n"/>
      <c r="F17" s="9" t="n"/>
      <c r="G17" s="9" t="n"/>
      <c r="H17" s="8" t="n"/>
      <c r="I17" s="10">
        <f>IF(OR(F17&lt;&gt;"",G17&lt;&gt;""),ROUND(N(F17)+N(G17),2),"")</f>
        <v/>
      </c>
      <c r="J17" s="10">
        <f>IF(I17="","",IF(D17="Sostituto d'imposta",ROUND(I17*Parametri!$B$2,2),0))</f>
        <v/>
      </c>
      <c r="K17" s="11">
        <f>IF(I17="","",IF(I17&gt;Parametri!$B$4,"Si","No"))</f>
        <v/>
      </c>
      <c r="L17" s="10">
        <f>IF(I17="","",I17-J17+IF(AND(K17="Si",H17="Si"),Parametri!$B$3,0))</f>
        <v/>
      </c>
      <c r="M17" s="7" t="n"/>
      <c r="N17" s="9" t="n"/>
      <c r="O17" s="10">
        <f>IF(L17="","",ROUND(L17-N(N17),2))</f>
        <v/>
      </c>
      <c r="P17" s="8" t="n"/>
      <c r="Q17" s="8" t="n"/>
      <c r="R17" s="11">
        <f>IF(I17="","",IF(M17&lt;&gt;"",YEAR(M17),IF(A17&lt;&gt;"",YEAR(A17),"")))</f>
        <v/>
      </c>
      <c r="S17" s="11">
        <f>IF(I17="","",IF(M17&lt;&gt;"",MONTH(M17),IF(A17&lt;&gt;"",MONTH(A17),"")))</f>
        <v/>
      </c>
    </row>
    <row r="18">
      <c r="A18" s="7" t="n"/>
      <c r="B18" s="8" t="n"/>
      <c r="C18" s="8" t="n"/>
      <c r="D18" s="8" t="n"/>
      <c r="E18" s="8" t="n"/>
      <c r="F18" s="9" t="n"/>
      <c r="G18" s="9" t="n"/>
      <c r="H18" s="8" t="n"/>
      <c r="I18" s="10">
        <f>IF(OR(F18&lt;&gt;"",G18&lt;&gt;""),ROUND(N(F18)+N(G18),2),"")</f>
        <v/>
      </c>
      <c r="J18" s="10">
        <f>IF(I18="","",IF(D18="Sostituto d'imposta",ROUND(I18*Parametri!$B$2,2),0))</f>
        <v/>
      </c>
      <c r="K18" s="11">
        <f>IF(I18="","",IF(I18&gt;Parametri!$B$4,"Si","No"))</f>
        <v/>
      </c>
      <c r="L18" s="10">
        <f>IF(I18="","",I18-J18+IF(AND(K18="Si",H18="Si"),Parametri!$B$3,0))</f>
        <v/>
      </c>
      <c r="M18" s="7" t="n"/>
      <c r="N18" s="9" t="n"/>
      <c r="O18" s="10">
        <f>IF(L18="","",ROUND(L18-N(N18),2))</f>
        <v/>
      </c>
      <c r="P18" s="8" t="n"/>
      <c r="Q18" s="8" t="n"/>
      <c r="R18" s="11">
        <f>IF(I18="","",IF(M18&lt;&gt;"",YEAR(M18),IF(A18&lt;&gt;"",YEAR(A18),"")))</f>
        <v/>
      </c>
      <c r="S18" s="11">
        <f>IF(I18="","",IF(M18&lt;&gt;"",MONTH(M18),IF(A18&lt;&gt;"",MONTH(A18),"")))</f>
        <v/>
      </c>
    </row>
    <row r="19">
      <c r="A19" s="7" t="n"/>
      <c r="B19" s="8" t="n"/>
      <c r="C19" s="8" t="n"/>
      <c r="D19" s="8" t="n"/>
      <c r="E19" s="8" t="n"/>
      <c r="F19" s="9" t="n"/>
      <c r="G19" s="9" t="n"/>
      <c r="H19" s="8" t="n"/>
      <c r="I19" s="10">
        <f>IF(OR(F19&lt;&gt;"",G19&lt;&gt;""),ROUND(N(F19)+N(G19),2),"")</f>
        <v/>
      </c>
      <c r="J19" s="10">
        <f>IF(I19="","",IF(D19="Sostituto d'imposta",ROUND(I19*Parametri!$B$2,2),0))</f>
        <v/>
      </c>
      <c r="K19" s="11">
        <f>IF(I19="","",IF(I19&gt;Parametri!$B$4,"Si","No"))</f>
        <v/>
      </c>
      <c r="L19" s="10">
        <f>IF(I19="","",I19-J19+IF(AND(K19="Si",H19="Si"),Parametri!$B$3,0))</f>
        <v/>
      </c>
      <c r="M19" s="7" t="n"/>
      <c r="N19" s="9" t="n"/>
      <c r="O19" s="10">
        <f>IF(L19="","",ROUND(L19-N(N19),2))</f>
        <v/>
      </c>
      <c r="P19" s="8" t="n"/>
      <c r="Q19" s="8" t="n"/>
      <c r="R19" s="11">
        <f>IF(I19="","",IF(M19&lt;&gt;"",YEAR(M19),IF(A19&lt;&gt;"",YEAR(A19),"")))</f>
        <v/>
      </c>
      <c r="S19" s="11">
        <f>IF(I19="","",IF(M19&lt;&gt;"",MONTH(M19),IF(A19&lt;&gt;"",MONTH(A19),"")))</f>
        <v/>
      </c>
    </row>
    <row r="20">
      <c r="A20" s="7" t="n"/>
      <c r="B20" s="8" t="n"/>
      <c r="C20" s="8" t="n"/>
      <c r="D20" s="8" t="n"/>
      <c r="E20" s="8" t="n"/>
      <c r="F20" s="9" t="n"/>
      <c r="G20" s="9" t="n"/>
      <c r="H20" s="8" t="n"/>
      <c r="I20" s="10">
        <f>IF(OR(F20&lt;&gt;"",G20&lt;&gt;""),ROUND(N(F20)+N(G20),2),"")</f>
        <v/>
      </c>
      <c r="J20" s="10">
        <f>IF(I20="","",IF(D20="Sostituto d'imposta",ROUND(I20*Parametri!$B$2,2),0))</f>
        <v/>
      </c>
      <c r="K20" s="11">
        <f>IF(I20="","",IF(I20&gt;Parametri!$B$4,"Si","No"))</f>
        <v/>
      </c>
      <c r="L20" s="10">
        <f>IF(I20="","",I20-J20+IF(AND(K20="Si",H20="Si"),Parametri!$B$3,0))</f>
        <v/>
      </c>
      <c r="M20" s="7" t="n"/>
      <c r="N20" s="9" t="n"/>
      <c r="O20" s="10">
        <f>IF(L20="","",ROUND(L20-N(N20),2))</f>
        <v/>
      </c>
      <c r="P20" s="8" t="n"/>
      <c r="Q20" s="8" t="n"/>
      <c r="R20" s="11">
        <f>IF(I20="","",IF(M20&lt;&gt;"",YEAR(M20),IF(A20&lt;&gt;"",YEAR(A20),"")))</f>
        <v/>
      </c>
      <c r="S20" s="11">
        <f>IF(I20="","",IF(M20&lt;&gt;"",MONTH(M20),IF(A20&lt;&gt;"",MONTH(A20),"")))</f>
        <v/>
      </c>
    </row>
    <row r="21">
      <c r="A21" s="7" t="n"/>
      <c r="B21" s="8" t="n"/>
      <c r="C21" s="8" t="n"/>
      <c r="D21" s="8" t="n"/>
      <c r="E21" s="8" t="n"/>
      <c r="F21" s="9" t="n"/>
      <c r="G21" s="9" t="n"/>
      <c r="H21" s="8" t="n"/>
      <c r="I21" s="10">
        <f>IF(OR(F21&lt;&gt;"",G21&lt;&gt;""),ROUND(N(F21)+N(G21),2),"")</f>
        <v/>
      </c>
      <c r="J21" s="10">
        <f>IF(I21="","",IF(D21="Sostituto d'imposta",ROUND(I21*Parametri!$B$2,2),0))</f>
        <v/>
      </c>
      <c r="K21" s="11">
        <f>IF(I21="","",IF(I21&gt;Parametri!$B$4,"Si","No"))</f>
        <v/>
      </c>
      <c r="L21" s="10">
        <f>IF(I21="","",I21-J21+IF(AND(K21="Si",H21="Si"),Parametri!$B$3,0))</f>
        <v/>
      </c>
      <c r="M21" s="7" t="n"/>
      <c r="N21" s="9" t="n"/>
      <c r="O21" s="10">
        <f>IF(L21="","",ROUND(L21-N(N21),2))</f>
        <v/>
      </c>
      <c r="P21" s="8" t="n"/>
      <c r="Q21" s="8" t="n"/>
      <c r="R21" s="11">
        <f>IF(I21="","",IF(M21&lt;&gt;"",YEAR(M21),IF(A21&lt;&gt;"",YEAR(A21),"")))</f>
        <v/>
      </c>
      <c r="S21" s="11">
        <f>IF(I21="","",IF(M21&lt;&gt;"",MONTH(M21),IF(A21&lt;&gt;"",MONTH(A21),"")))</f>
        <v/>
      </c>
    </row>
    <row r="22">
      <c r="A22" s="7" t="n"/>
      <c r="B22" s="8" t="n"/>
      <c r="C22" s="8" t="n"/>
      <c r="D22" s="8" t="n"/>
      <c r="E22" s="8" t="n"/>
      <c r="F22" s="9" t="n"/>
      <c r="G22" s="9" t="n"/>
      <c r="H22" s="8" t="n"/>
      <c r="I22" s="10">
        <f>IF(OR(F22&lt;&gt;"",G22&lt;&gt;""),ROUND(N(F22)+N(G22),2),"")</f>
        <v/>
      </c>
      <c r="J22" s="10">
        <f>IF(I22="","",IF(D22="Sostituto d'imposta",ROUND(I22*Parametri!$B$2,2),0))</f>
        <v/>
      </c>
      <c r="K22" s="11">
        <f>IF(I22="","",IF(I22&gt;Parametri!$B$4,"Si","No"))</f>
        <v/>
      </c>
      <c r="L22" s="10">
        <f>IF(I22="","",I22-J22+IF(AND(K22="Si",H22="Si"),Parametri!$B$3,0))</f>
        <v/>
      </c>
      <c r="M22" s="7" t="n"/>
      <c r="N22" s="9" t="n"/>
      <c r="O22" s="10">
        <f>IF(L22="","",ROUND(L22-N(N22),2))</f>
        <v/>
      </c>
      <c r="P22" s="8" t="n"/>
      <c r="Q22" s="8" t="n"/>
      <c r="R22" s="11">
        <f>IF(I22="","",IF(M22&lt;&gt;"",YEAR(M22),IF(A22&lt;&gt;"",YEAR(A22),"")))</f>
        <v/>
      </c>
      <c r="S22" s="11">
        <f>IF(I22="","",IF(M22&lt;&gt;"",MONTH(M22),IF(A22&lt;&gt;"",MONTH(A22),"")))</f>
        <v/>
      </c>
    </row>
    <row r="23">
      <c r="A23" s="7" t="n"/>
      <c r="B23" s="8" t="n"/>
      <c r="C23" s="8" t="n"/>
      <c r="D23" s="8" t="n"/>
      <c r="E23" s="8" t="n"/>
      <c r="F23" s="9" t="n"/>
      <c r="G23" s="9" t="n"/>
      <c r="H23" s="8" t="n"/>
      <c r="I23" s="10">
        <f>IF(OR(F23&lt;&gt;"",G23&lt;&gt;""),ROUND(N(F23)+N(G23),2),"")</f>
        <v/>
      </c>
      <c r="J23" s="10">
        <f>IF(I23="","",IF(D23="Sostituto d'imposta",ROUND(I23*Parametri!$B$2,2),0))</f>
        <v/>
      </c>
      <c r="K23" s="11">
        <f>IF(I23="","",IF(I23&gt;Parametri!$B$4,"Si","No"))</f>
        <v/>
      </c>
      <c r="L23" s="10">
        <f>IF(I23="","",I23-J23+IF(AND(K23="Si",H23="Si"),Parametri!$B$3,0))</f>
        <v/>
      </c>
      <c r="M23" s="7" t="n"/>
      <c r="N23" s="9" t="n"/>
      <c r="O23" s="10">
        <f>IF(L23="","",ROUND(L23-N(N23),2))</f>
        <v/>
      </c>
      <c r="P23" s="8" t="n"/>
      <c r="Q23" s="8" t="n"/>
      <c r="R23" s="11">
        <f>IF(I23="","",IF(M23&lt;&gt;"",YEAR(M23),IF(A23&lt;&gt;"",YEAR(A23),"")))</f>
        <v/>
      </c>
      <c r="S23" s="11">
        <f>IF(I23="","",IF(M23&lt;&gt;"",MONTH(M23),IF(A23&lt;&gt;"",MONTH(A23),"")))</f>
        <v/>
      </c>
    </row>
    <row r="24">
      <c r="A24" s="7" t="n"/>
      <c r="B24" s="8" t="n"/>
      <c r="C24" s="8" t="n"/>
      <c r="D24" s="8" t="n"/>
      <c r="E24" s="8" t="n"/>
      <c r="F24" s="9" t="n"/>
      <c r="G24" s="9" t="n"/>
      <c r="H24" s="8" t="n"/>
      <c r="I24" s="10">
        <f>IF(OR(F24&lt;&gt;"",G24&lt;&gt;""),ROUND(N(F24)+N(G24),2),"")</f>
        <v/>
      </c>
      <c r="J24" s="10">
        <f>IF(I24="","",IF(D24="Sostituto d'imposta",ROUND(I24*Parametri!$B$2,2),0))</f>
        <v/>
      </c>
      <c r="K24" s="11">
        <f>IF(I24="","",IF(I24&gt;Parametri!$B$4,"Si","No"))</f>
        <v/>
      </c>
      <c r="L24" s="10">
        <f>IF(I24="","",I24-J24+IF(AND(K24="Si",H24="Si"),Parametri!$B$3,0))</f>
        <v/>
      </c>
      <c r="M24" s="7" t="n"/>
      <c r="N24" s="9" t="n"/>
      <c r="O24" s="10">
        <f>IF(L24="","",ROUND(L24-N(N24),2))</f>
        <v/>
      </c>
      <c r="P24" s="8" t="n"/>
      <c r="Q24" s="8" t="n"/>
      <c r="R24" s="11">
        <f>IF(I24="","",IF(M24&lt;&gt;"",YEAR(M24),IF(A24&lt;&gt;"",YEAR(A24),"")))</f>
        <v/>
      </c>
      <c r="S24" s="11">
        <f>IF(I24="","",IF(M24&lt;&gt;"",MONTH(M24),IF(A24&lt;&gt;"",MONTH(A24),"")))</f>
        <v/>
      </c>
    </row>
    <row r="25">
      <c r="A25" s="7" t="n"/>
      <c r="B25" s="8" t="n"/>
      <c r="C25" s="8" t="n"/>
      <c r="D25" s="8" t="n"/>
      <c r="E25" s="8" t="n"/>
      <c r="F25" s="9" t="n"/>
      <c r="G25" s="9" t="n"/>
      <c r="H25" s="8" t="n"/>
      <c r="I25" s="10">
        <f>IF(OR(F25&lt;&gt;"",G25&lt;&gt;""),ROUND(N(F25)+N(G25),2),"")</f>
        <v/>
      </c>
      <c r="J25" s="10">
        <f>IF(I25="","",IF(D25="Sostituto d'imposta",ROUND(I25*Parametri!$B$2,2),0))</f>
        <v/>
      </c>
      <c r="K25" s="11">
        <f>IF(I25="","",IF(I25&gt;Parametri!$B$4,"Si","No"))</f>
        <v/>
      </c>
      <c r="L25" s="10">
        <f>IF(I25="","",I25-J25+IF(AND(K25="Si",H25="Si"),Parametri!$B$3,0))</f>
        <v/>
      </c>
      <c r="M25" s="7" t="n"/>
      <c r="N25" s="9" t="n"/>
      <c r="O25" s="10">
        <f>IF(L25="","",ROUND(L25-N(N25),2))</f>
        <v/>
      </c>
      <c r="P25" s="8" t="n"/>
      <c r="Q25" s="8" t="n"/>
      <c r="R25" s="11">
        <f>IF(I25="","",IF(M25&lt;&gt;"",YEAR(M25),IF(A25&lt;&gt;"",YEAR(A25),"")))</f>
        <v/>
      </c>
      <c r="S25" s="11">
        <f>IF(I25="","",IF(M25&lt;&gt;"",MONTH(M25),IF(A25&lt;&gt;"",MONTH(A25),"")))</f>
        <v/>
      </c>
    </row>
    <row r="26">
      <c r="A26" s="7" t="n"/>
      <c r="B26" s="8" t="n"/>
      <c r="C26" s="8" t="n"/>
      <c r="D26" s="8" t="n"/>
      <c r="E26" s="8" t="n"/>
      <c r="F26" s="9" t="n"/>
      <c r="G26" s="9" t="n"/>
      <c r="H26" s="8" t="n"/>
      <c r="I26" s="10">
        <f>IF(OR(F26&lt;&gt;"",G26&lt;&gt;""),ROUND(N(F26)+N(G26),2),"")</f>
        <v/>
      </c>
      <c r="J26" s="10">
        <f>IF(I26="","",IF(D26="Sostituto d'imposta",ROUND(I26*Parametri!$B$2,2),0))</f>
        <v/>
      </c>
      <c r="K26" s="11">
        <f>IF(I26="","",IF(I26&gt;Parametri!$B$4,"Si","No"))</f>
        <v/>
      </c>
      <c r="L26" s="10">
        <f>IF(I26="","",I26-J26+IF(AND(K26="Si",H26="Si"),Parametri!$B$3,0))</f>
        <v/>
      </c>
      <c r="M26" s="7" t="n"/>
      <c r="N26" s="9" t="n"/>
      <c r="O26" s="10">
        <f>IF(L26="","",ROUND(L26-N(N26),2))</f>
        <v/>
      </c>
      <c r="P26" s="8" t="n"/>
      <c r="Q26" s="8" t="n"/>
      <c r="R26" s="11">
        <f>IF(I26="","",IF(M26&lt;&gt;"",YEAR(M26),IF(A26&lt;&gt;"",YEAR(A26),"")))</f>
        <v/>
      </c>
      <c r="S26" s="11">
        <f>IF(I26="","",IF(M26&lt;&gt;"",MONTH(M26),IF(A26&lt;&gt;"",MONTH(A26),"")))</f>
        <v/>
      </c>
    </row>
    <row r="27">
      <c r="A27" s="7" t="n"/>
      <c r="B27" s="8" t="n"/>
      <c r="C27" s="8" t="n"/>
      <c r="D27" s="8" t="n"/>
      <c r="E27" s="8" t="n"/>
      <c r="F27" s="9" t="n"/>
      <c r="G27" s="9" t="n"/>
      <c r="H27" s="8" t="n"/>
      <c r="I27" s="10">
        <f>IF(OR(F27&lt;&gt;"",G27&lt;&gt;""),ROUND(N(F27)+N(G27),2),"")</f>
        <v/>
      </c>
      <c r="J27" s="10">
        <f>IF(I27="","",IF(D27="Sostituto d'imposta",ROUND(I27*Parametri!$B$2,2),0))</f>
        <v/>
      </c>
      <c r="K27" s="11">
        <f>IF(I27="","",IF(I27&gt;Parametri!$B$4,"Si","No"))</f>
        <v/>
      </c>
      <c r="L27" s="10">
        <f>IF(I27="","",I27-J27+IF(AND(K27="Si",H27="Si"),Parametri!$B$3,0))</f>
        <v/>
      </c>
      <c r="M27" s="7" t="n"/>
      <c r="N27" s="9" t="n"/>
      <c r="O27" s="10">
        <f>IF(L27="","",ROUND(L27-N(N27),2))</f>
        <v/>
      </c>
      <c r="P27" s="8" t="n"/>
      <c r="Q27" s="8" t="n"/>
      <c r="R27" s="11">
        <f>IF(I27="","",IF(M27&lt;&gt;"",YEAR(M27),IF(A27&lt;&gt;"",YEAR(A27),"")))</f>
        <v/>
      </c>
      <c r="S27" s="11">
        <f>IF(I27="","",IF(M27&lt;&gt;"",MONTH(M27),IF(A27&lt;&gt;"",MONTH(A27),"")))</f>
        <v/>
      </c>
    </row>
    <row r="28">
      <c r="A28" s="7" t="n"/>
      <c r="B28" s="8" t="n"/>
      <c r="C28" s="8" t="n"/>
      <c r="D28" s="8" t="n"/>
      <c r="E28" s="8" t="n"/>
      <c r="F28" s="9" t="n"/>
      <c r="G28" s="9" t="n"/>
      <c r="H28" s="8" t="n"/>
      <c r="I28" s="10">
        <f>IF(OR(F28&lt;&gt;"",G28&lt;&gt;""),ROUND(N(F28)+N(G28),2),"")</f>
        <v/>
      </c>
      <c r="J28" s="10">
        <f>IF(I28="","",IF(D28="Sostituto d'imposta",ROUND(I28*Parametri!$B$2,2),0))</f>
        <v/>
      </c>
      <c r="K28" s="11">
        <f>IF(I28="","",IF(I28&gt;Parametri!$B$4,"Si","No"))</f>
        <v/>
      </c>
      <c r="L28" s="10">
        <f>IF(I28="","",I28-J28+IF(AND(K28="Si",H28="Si"),Parametri!$B$3,0))</f>
        <v/>
      </c>
      <c r="M28" s="7" t="n"/>
      <c r="N28" s="9" t="n"/>
      <c r="O28" s="10">
        <f>IF(L28="","",ROUND(L28-N(N28),2))</f>
        <v/>
      </c>
      <c r="P28" s="8" t="n"/>
      <c r="Q28" s="8" t="n"/>
      <c r="R28" s="11">
        <f>IF(I28="","",IF(M28&lt;&gt;"",YEAR(M28),IF(A28&lt;&gt;"",YEAR(A28),"")))</f>
        <v/>
      </c>
      <c r="S28" s="11">
        <f>IF(I28="","",IF(M28&lt;&gt;"",MONTH(M28),IF(A28&lt;&gt;"",MONTH(A28),"")))</f>
        <v/>
      </c>
    </row>
    <row r="29">
      <c r="A29" s="7" t="n"/>
      <c r="B29" s="8" t="n"/>
      <c r="C29" s="8" t="n"/>
      <c r="D29" s="8" t="n"/>
      <c r="E29" s="8" t="n"/>
      <c r="F29" s="9" t="n"/>
      <c r="G29" s="9" t="n"/>
      <c r="H29" s="8" t="n"/>
      <c r="I29" s="10">
        <f>IF(OR(F29&lt;&gt;"",G29&lt;&gt;""),ROUND(N(F29)+N(G29),2),"")</f>
        <v/>
      </c>
      <c r="J29" s="10">
        <f>IF(I29="","",IF(D29="Sostituto d'imposta",ROUND(I29*Parametri!$B$2,2),0))</f>
        <v/>
      </c>
      <c r="K29" s="11">
        <f>IF(I29="","",IF(I29&gt;Parametri!$B$4,"Si","No"))</f>
        <v/>
      </c>
      <c r="L29" s="10">
        <f>IF(I29="","",I29-J29+IF(AND(K29="Si",H29="Si"),Parametri!$B$3,0))</f>
        <v/>
      </c>
      <c r="M29" s="7" t="n"/>
      <c r="N29" s="9" t="n"/>
      <c r="O29" s="10">
        <f>IF(L29="","",ROUND(L29-N(N29),2))</f>
        <v/>
      </c>
      <c r="P29" s="8" t="n"/>
      <c r="Q29" s="8" t="n"/>
      <c r="R29" s="11">
        <f>IF(I29="","",IF(M29&lt;&gt;"",YEAR(M29),IF(A29&lt;&gt;"",YEAR(A29),"")))</f>
        <v/>
      </c>
      <c r="S29" s="11">
        <f>IF(I29="","",IF(M29&lt;&gt;"",MONTH(M29),IF(A29&lt;&gt;"",MONTH(A29),"")))</f>
        <v/>
      </c>
    </row>
    <row r="30">
      <c r="A30" s="7" t="n"/>
      <c r="B30" s="8" t="n"/>
      <c r="C30" s="8" t="n"/>
      <c r="D30" s="8" t="n"/>
      <c r="E30" s="8" t="n"/>
      <c r="F30" s="9" t="n"/>
      <c r="G30" s="9" t="n"/>
      <c r="H30" s="8" t="n"/>
      <c r="I30" s="10">
        <f>IF(OR(F30&lt;&gt;"",G30&lt;&gt;""),ROUND(N(F30)+N(G30),2),"")</f>
        <v/>
      </c>
      <c r="J30" s="10">
        <f>IF(I30="","",IF(D30="Sostituto d'imposta",ROUND(I30*Parametri!$B$2,2),0))</f>
        <v/>
      </c>
      <c r="K30" s="11">
        <f>IF(I30="","",IF(I30&gt;Parametri!$B$4,"Si","No"))</f>
        <v/>
      </c>
      <c r="L30" s="10">
        <f>IF(I30="","",I30-J30+IF(AND(K30="Si",H30="Si"),Parametri!$B$3,0))</f>
        <v/>
      </c>
      <c r="M30" s="7" t="n"/>
      <c r="N30" s="9" t="n"/>
      <c r="O30" s="10">
        <f>IF(L30="","",ROUND(L30-N(N30),2))</f>
        <v/>
      </c>
      <c r="P30" s="8" t="n"/>
      <c r="Q30" s="8" t="n"/>
      <c r="R30" s="11">
        <f>IF(I30="","",IF(M30&lt;&gt;"",YEAR(M30),IF(A30&lt;&gt;"",YEAR(A30),"")))</f>
        <v/>
      </c>
      <c r="S30" s="11">
        <f>IF(I30="","",IF(M30&lt;&gt;"",MONTH(M30),IF(A30&lt;&gt;"",MONTH(A30),"")))</f>
        <v/>
      </c>
    </row>
    <row r="31">
      <c r="A31" s="7" t="n"/>
      <c r="B31" s="8" t="n"/>
      <c r="C31" s="8" t="n"/>
      <c r="D31" s="8" t="n"/>
      <c r="E31" s="8" t="n"/>
      <c r="F31" s="9" t="n"/>
      <c r="G31" s="9" t="n"/>
      <c r="H31" s="8" t="n"/>
      <c r="I31" s="10">
        <f>IF(OR(F31&lt;&gt;"",G31&lt;&gt;""),ROUND(N(F31)+N(G31),2),"")</f>
        <v/>
      </c>
      <c r="J31" s="10">
        <f>IF(I31="","",IF(D31="Sostituto d'imposta",ROUND(I31*Parametri!$B$2,2),0))</f>
        <v/>
      </c>
      <c r="K31" s="11">
        <f>IF(I31="","",IF(I31&gt;Parametri!$B$4,"Si","No"))</f>
        <v/>
      </c>
      <c r="L31" s="10">
        <f>IF(I31="","",I31-J31+IF(AND(K31="Si",H31="Si"),Parametri!$B$3,0))</f>
        <v/>
      </c>
      <c r="M31" s="7" t="n"/>
      <c r="N31" s="9" t="n"/>
      <c r="O31" s="10">
        <f>IF(L31="","",ROUND(L31-N(N31),2))</f>
        <v/>
      </c>
      <c r="P31" s="8" t="n"/>
      <c r="Q31" s="8" t="n"/>
      <c r="R31" s="11">
        <f>IF(I31="","",IF(M31&lt;&gt;"",YEAR(M31),IF(A31&lt;&gt;"",YEAR(A31),"")))</f>
        <v/>
      </c>
      <c r="S31" s="11">
        <f>IF(I31="","",IF(M31&lt;&gt;"",MONTH(M31),IF(A31&lt;&gt;"",MONTH(A31),"")))</f>
        <v/>
      </c>
    </row>
    <row r="32">
      <c r="A32" s="7" t="n"/>
      <c r="B32" s="8" t="n"/>
      <c r="C32" s="8" t="n"/>
      <c r="D32" s="8" t="n"/>
      <c r="E32" s="8" t="n"/>
      <c r="F32" s="9" t="n"/>
      <c r="G32" s="9" t="n"/>
      <c r="H32" s="8" t="n"/>
      <c r="I32" s="10">
        <f>IF(OR(F32&lt;&gt;"",G32&lt;&gt;""),ROUND(N(F32)+N(G32),2),"")</f>
        <v/>
      </c>
      <c r="J32" s="10">
        <f>IF(I32="","",IF(D32="Sostituto d'imposta",ROUND(I32*Parametri!$B$2,2),0))</f>
        <v/>
      </c>
      <c r="K32" s="11">
        <f>IF(I32="","",IF(I32&gt;Parametri!$B$4,"Si","No"))</f>
        <v/>
      </c>
      <c r="L32" s="10">
        <f>IF(I32="","",I32-J32+IF(AND(K32="Si",H32="Si"),Parametri!$B$3,0))</f>
        <v/>
      </c>
      <c r="M32" s="7" t="n"/>
      <c r="N32" s="9" t="n"/>
      <c r="O32" s="10">
        <f>IF(L32="","",ROUND(L32-N(N32),2))</f>
        <v/>
      </c>
      <c r="P32" s="8" t="n"/>
      <c r="Q32" s="8" t="n"/>
      <c r="R32" s="11">
        <f>IF(I32="","",IF(M32&lt;&gt;"",YEAR(M32),IF(A32&lt;&gt;"",YEAR(A32),"")))</f>
        <v/>
      </c>
      <c r="S32" s="11">
        <f>IF(I32="","",IF(M32&lt;&gt;"",MONTH(M32),IF(A32&lt;&gt;"",MONTH(A32),"")))</f>
        <v/>
      </c>
    </row>
    <row r="33">
      <c r="A33" s="7" t="n"/>
      <c r="B33" s="8" t="n"/>
      <c r="C33" s="8" t="n"/>
      <c r="D33" s="8" t="n"/>
      <c r="E33" s="8" t="n"/>
      <c r="F33" s="9" t="n"/>
      <c r="G33" s="9" t="n"/>
      <c r="H33" s="8" t="n"/>
      <c r="I33" s="10">
        <f>IF(OR(F33&lt;&gt;"",G33&lt;&gt;""),ROUND(N(F33)+N(G33),2),"")</f>
        <v/>
      </c>
      <c r="J33" s="10">
        <f>IF(I33="","",IF(D33="Sostituto d'imposta",ROUND(I33*Parametri!$B$2,2),0))</f>
        <v/>
      </c>
      <c r="K33" s="11">
        <f>IF(I33="","",IF(I33&gt;Parametri!$B$4,"Si","No"))</f>
        <v/>
      </c>
      <c r="L33" s="10">
        <f>IF(I33="","",I33-J33+IF(AND(K33="Si",H33="Si"),Parametri!$B$3,0))</f>
        <v/>
      </c>
      <c r="M33" s="7" t="n"/>
      <c r="N33" s="9" t="n"/>
      <c r="O33" s="10">
        <f>IF(L33="","",ROUND(L33-N(N33),2))</f>
        <v/>
      </c>
      <c r="P33" s="8" t="n"/>
      <c r="Q33" s="8" t="n"/>
      <c r="R33" s="11">
        <f>IF(I33="","",IF(M33&lt;&gt;"",YEAR(M33),IF(A33&lt;&gt;"",YEAR(A33),"")))</f>
        <v/>
      </c>
      <c r="S33" s="11">
        <f>IF(I33="","",IF(M33&lt;&gt;"",MONTH(M33),IF(A33&lt;&gt;"",MONTH(A33),"")))</f>
        <v/>
      </c>
    </row>
    <row r="34">
      <c r="A34" s="7" t="n"/>
      <c r="B34" s="8" t="n"/>
      <c r="C34" s="8" t="n"/>
      <c r="D34" s="8" t="n"/>
      <c r="E34" s="8" t="n"/>
      <c r="F34" s="9" t="n"/>
      <c r="G34" s="9" t="n"/>
      <c r="H34" s="8" t="n"/>
      <c r="I34" s="10">
        <f>IF(OR(F34&lt;&gt;"",G34&lt;&gt;""),ROUND(N(F34)+N(G34),2),"")</f>
        <v/>
      </c>
      <c r="J34" s="10">
        <f>IF(I34="","",IF(D34="Sostituto d'imposta",ROUND(I34*Parametri!$B$2,2),0))</f>
        <v/>
      </c>
      <c r="K34" s="11">
        <f>IF(I34="","",IF(I34&gt;Parametri!$B$4,"Si","No"))</f>
        <v/>
      </c>
      <c r="L34" s="10">
        <f>IF(I34="","",I34-J34+IF(AND(K34="Si",H34="Si"),Parametri!$B$3,0))</f>
        <v/>
      </c>
      <c r="M34" s="7" t="n"/>
      <c r="N34" s="9" t="n"/>
      <c r="O34" s="10">
        <f>IF(L34="","",ROUND(L34-N(N34),2))</f>
        <v/>
      </c>
      <c r="P34" s="8" t="n"/>
      <c r="Q34" s="8" t="n"/>
      <c r="R34" s="11">
        <f>IF(I34="","",IF(M34&lt;&gt;"",YEAR(M34),IF(A34&lt;&gt;"",YEAR(A34),"")))</f>
        <v/>
      </c>
      <c r="S34" s="11">
        <f>IF(I34="","",IF(M34&lt;&gt;"",MONTH(M34),IF(A34&lt;&gt;"",MONTH(A34),"")))</f>
        <v/>
      </c>
    </row>
    <row r="35">
      <c r="A35" s="7" t="n"/>
      <c r="B35" s="8" t="n"/>
      <c r="C35" s="8" t="n"/>
      <c r="D35" s="8" t="n"/>
      <c r="E35" s="8" t="n"/>
      <c r="F35" s="9" t="n"/>
      <c r="G35" s="9" t="n"/>
      <c r="H35" s="8" t="n"/>
      <c r="I35" s="10">
        <f>IF(OR(F35&lt;&gt;"",G35&lt;&gt;""),ROUND(N(F35)+N(G35),2),"")</f>
        <v/>
      </c>
      <c r="J35" s="10">
        <f>IF(I35="","",IF(D35="Sostituto d'imposta",ROUND(I35*Parametri!$B$2,2),0))</f>
        <v/>
      </c>
      <c r="K35" s="11">
        <f>IF(I35="","",IF(I35&gt;Parametri!$B$4,"Si","No"))</f>
        <v/>
      </c>
      <c r="L35" s="10">
        <f>IF(I35="","",I35-J35+IF(AND(K35="Si",H35="Si"),Parametri!$B$3,0))</f>
        <v/>
      </c>
      <c r="M35" s="7" t="n"/>
      <c r="N35" s="9" t="n"/>
      <c r="O35" s="10">
        <f>IF(L35="","",ROUND(L35-N(N35),2))</f>
        <v/>
      </c>
      <c r="P35" s="8" t="n"/>
      <c r="Q35" s="8" t="n"/>
      <c r="R35" s="11">
        <f>IF(I35="","",IF(M35&lt;&gt;"",YEAR(M35),IF(A35&lt;&gt;"",YEAR(A35),"")))</f>
        <v/>
      </c>
      <c r="S35" s="11">
        <f>IF(I35="","",IF(M35&lt;&gt;"",MONTH(M35),IF(A35&lt;&gt;"",MONTH(A35),"")))</f>
        <v/>
      </c>
    </row>
    <row r="36">
      <c r="A36" s="7" t="n"/>
      <c r="B36" s="8" t="n"/>
      <c r="C36" s="8" t="n"/>
      <c r="D36" s="8" t="n"/>
      <c r="E36" s="8" t="n"/>
      <c r="F36" s="9" t="n"/>
      <c r="G36" s="9" t="n"/>
      <c r="H36" s="8" t="n"/>
      <c r="I36" s="10">
        <f>IF(OR(F36&lt;&gt;"",G36&lt;&gt;""),ROUND(N(F36)+N(G36),2),"")</f>
        <v/>
      </c>
      <c r="J36" s="10">
        <f>IF(I36="","",IF(D36="Sostituto d'imposta",ROUND(I36*Parametri!$B$2,2),0))</f>
        <v/>
      </c>
      <c r="K36" s="11">
        <f>IF(I36="","",IF(I36&gt;Parametri!$B$4,"Si","No"))</f>
        <v/>
      </c>
      <c r="L36" s="10">
        <f>IF(I36="","",I36-J36+IF(AND(K36="Si",H36="Si"),Parametri!$B$3,0))</f>
        <v/>
      </c>
      <c r="M36" s="7" t="n"/>
      <c r="N36" s="9" t="n"/>
      <c r="O36" s="10">
        <f>IF(L36="","",ROUND(L36-N(N36),2))</f>
        <v/>
      </c>
      <c r="P36" s="8" t="n"/>
      <c r="Q36" s="8" t="n"/>
      <c r="R36" s="11">
        <f>IF(I36="","",IF(M36&lt;&gt;"",YEAR(M36),IF(A36&lt;&gt;"",YEAR(A36),"")))</f>
        <v/>
      </c>
      <c r="S36" s="11">
        <f>IF(I36="","",IF(M36&lt;&gt;"",MONTH(M36),IF(A36&lt;&gt;"",MONTH(A36),"")))</f>
        <v/>
      </c>
    </row>
    <row r="37">
      <c r="A37" s="7" t="n"/>
      <c r="B37" s="8" t="n"/>
      <c r="C37" s="8" t="n"/>
      <c r="D37" s="8" t="n"/>
      <c r="E37" s="8" t="n"/>
      <c r="F37" s="9" t="n"/>
      <c r="G37" s="9" t="n"/>
      <c r="H37" s="8" t="n"/>
      <c r="I37" s="10">
        <f>IF(OR(F37&lt;&gt;"",G37&lt;&gt;""),ROUND(N(F37)+N(G37),2),"")</f>
        <v/>
      </c>
      <c r="J37" s="10">
        <f>IF(I37="","",IF(D37="Sostituto d'imposta",ROUND(I37*Parametri!$B$2,2),0))</f>
        <v/>
      </c>
      <c r="K37" s="11">
        <f>IF(I37="","",IF(I37&gt;Parametri!$B$4,"Si","No"))</f>
        <v/>
      </c>
      <c r="L37" s="10">
        <f>IF(I37="","",I37-J37+IF(AND(K37="Si",H37="Si"),Parametri!$B$3,0))</f>
        <v/>
      </c>
      <c r="M37" s="7" t="n"/>
      <c r="N37" s="9" t="n"/>
      <c r="O37" s="10">
        <f>IF(L37="","",ROUND(L37-N(N37),2))</f>
        <v/>
      </c>
      <c r="P37" s="8" t="n"/>
      <c r="Q37" s="8" t="n"/>
      <c r="R37" s="11">
        <f>IF(I37="","",IF(M37&lt;&gt;"",YEAR(M37),IF(A37&lt;&gt;"",YEAR(A37),"")))</f>
        <v/>
      </c>
      <c r="S37" s="11">
        <f>IF(I37="","",IF(M37&lt;&gt;"",MONTH(M37),IF(A37&lt;&gt;"",MONTH(A37),"")))</f>
        <v/>
      </c>
    </row>
    <row r="38">
      <c r="A38" s="7" t="n"/>
      <c r="B38" s="8" t="n"/>
      <c r="C38" s="8" t="n"/>
      <c r="D38" s="8" t="n"/>
      <c r="E38" s="8" t="n"/>
      <c r="F38" s="9" t="n"/>
      <c r="G38" s="9" t="n"/>
      <c r="H38" s="8" t="n"/>
      <c r="I38" s="10">
        <f>IF(OR(F38&lt;&gt;"",G38&lt;&gt;""),ROUND(N(F38)+N(G38),2),"")</f>
        <v/>
      </c>
      <c r="J38" s="10">
        <f>IF(I38="","",IF(D38="Sostituto d'imposta",ROUND(I38*Parametri!$B$2,2),0))</f>
        <v/>
      </c>
      <c r="K38" s="11">
        <f>IF(I38="","",IF(I38&gt;Parametri!$B$4,"Si","No"))</f>
        <v/>
      </c>
      <c r="L38" s="10">
        <f>IF(I38="","",I38-J38+IF(AND(K38="Si",H38="Si"),Parametri!$B$3,0))</f>
        <v/>
      </c>
      <c r="M38" s="7" t="n"/>
      <c r="N38" s="9" t="n"/>
      <c r="O38" s="10">
        <f>IF(L38="","",ROUND(L38-N(N38),2))</f>
        <v/>
      </c>
      <c r="P38" s="8" t="n"/>
      <c r="Q38" s="8" t="n"/>
      <c r="R38" s="11">
        <f>IF(I38="","",IF(M38&lt;&gt;"",YEAR(M38),IF(A38&lt;&gt;"",YEAR(A38),"")))</f>
        <v/>
      </c>
      <c r="S38" s="11">
        <f>IF(I38="","",IF(M38&lt;&gt;"",MONTH(M38),IF(A38&lt;&gt;"",MONTH(A38),"")))</f>
        <v/>
      </c>
    </row>
    <row r="39">
      <c r="A39" s="7" t="n"/>
      <c r="B39" s="8" t="n"/>
      <c r="C39" s="8" t="n"/>
      <c r="D39" s="8" t="n"/>
      <c r="E39" s="8" t="n"/>
      <c r="F39" s="9" t="n"/>
      <c r="G39" s="9" t="n"/>
      <c r="H39" s="8" t="n"/>
      <c r="I39" s="10">
        <f>IF(OR(F39&lt;&gt;"",G39&lt;&gt;""),ROUND(N(F39)+N(G39),2),"")</f>
        <v/>
      </c>
      <c r="J39" s="10">
        <f>IF(I39="","",IF(D39="Sostituto d'imposta",ROUND(I39*Parametri!$B$2,2),0))</f>
        <v/>
      </c>
      <c r="K39" s="11">
        <f>IF(I39="","",IF(I39&gt;Parametri!$B$4,"Si","No"))</f>
        <v/>
      </c>
      <c r="L39" s="10">
        <f>IF(I39="","",I39-J39+IF(AND(K39="Si",H39="Si"),Parametri!$B$3,0))</f>
        <v/>
      </c>
      <c r="M39" s="7" t="n"/>
      <c r="N39" s="9" t="n"/>
      <c r="O39" s="10">
        <f>IF(L39="","",ROUND(L39-N(N39),2))</f>
        <v/>
      </c>
      <c r="P39" s="8" t="n"/>
      <c r="Q39" s="8" t="n"/>
      <c r="R39" s="11">
        <f>IF(I39="","",IF(M39&lt;&gt;"",YEAR(M39),IF(A39&lt;&gt;"",YEAR(A39),"")))</f>
        <v/>
      </c>
      <c r="S39" s="11">
        <f>IF(I39="","",IF(M39&lt;&gt;"",MONTH(M39),IF(A39&lt;&gt;"",MONTH(A39),"")))</f>
        <v/>
      </c>
    </row>
    <row r="40">
      <c r="A40" s="7" t="n"/>
      <c r="B40" s="8" t="n"/>
      <c r="C40" s="8" t="n"/>
      <c r="D40" s="8" t="n"/>
      <c r="E40" s="8" t="n"/>
      <c r="F40" s="9" t="n"/>
      <c r="G40" s="9" t="n"/>
      <c r="H40" s="8" t="n"/>
      <c r="I40" s="10">
        <f>IF(OR(F40&lt;&gt;"",G40&lt;&gt;""),ROUND(N(F40)+N(G40),2),"")</f>
        <v/>
      </c>
      <c r="J40" s="10">
        <f>IF(I40="","",IF(D40="Sostituto d'imposta",ROUND(I40*Parametri!$B$2,2),0))</f>
        <v/>
      </c>
      <c r="K40" s="11">
        <f>IF(I40="","",IF(I40&gt;Parametri!$B$4,"Si","No"))</f>
        <v/>
      </c>
      <c r="L40" s="10">
        <f>IF(I40="","",I40-J40+IF(AND(K40="Si",H40="Si"),Parametri!$B$3,0))</f>
        <v/>
      </c>
      <c r="M40" s="7" t="n"/>
      <c r="N40" s="9" t="n"/>
      <c r="O40" s="10">
        <f>IF(L40="","",ROUND(L40-N(N40),2))</f>
        <v/>
      </c>
      <c r="P40" s="8" t="n"/>
      <c r="Q40" s="8" t="n"/>
      <c r="R40" s="11">
        <f>IF(I40="","",IF(M40&lt;&gt;"",YEAR(M40),IF(A40&lt;&gt;"",YEAR(A40),"")))</f>
        <v/>
      </c>
      <c r="S40" s="11">
        <f>IF(I40="","",IF(M40&lt;&gt;"",MONTH(M40),IF(A40&lt;&gt;"",MONTH(A40),"")))</f>
        <v/>
      </c>
    </row>
    <row r="41">
      <c r="A41" s="7" t="n"/>
      <c r="B41" s="8" t="n"/>
      <c r="C41" s="8" t="n"/>
      <c r="D41" s="8" t="n"/>
      <c r="E41" s="8" t="n"/>
      <c r="F41" s="9" t="n"/>
      <c r="G41" s="9" t="n"/>
      <c r="H41" s="8" t="n"/>
      <c r="I41" s="10">
        <f>IF(OR(F41&lt;&gt;"",G41&lt;&gt;""),ROUND(N(F41)+N(G41),2),"")</f>
        <v/>
      </c>
      <c r="J41" s="10">
        <f>IF(I41="","",IF(D41="Sostituto d'imposta",ROUND(I41*Parametri!$B$2,2),0))</f>
        <v/>
      </c>
      <c r="K41" s="11">
        <f>IF(I41="","",IF(I41&gt;Parametri!$B$4,"Si","No"))</f>
        <v/>
      </c>
      <c r="L41" s="10">
        <f>IF(I41="","",I41-J41+IF(AND(K41="Si",H41="Si"),Parametri!$B$3,0))</f>
        <v/>
      </c>
      <c r="M41" s="7" t="n"/>
      <c r="N41" s="9" t="n"/>
      <c r="O41" s="10">
        <f>IF(L41="","",ROUND(L41-N(N41),2))</f>
        <v/>
      </c>
      <c r="P41" s="8" t="n"/>
      <c r="Q41" s="8" t="n"/>
      <c r="R41" s="11">
        <f>IF(I41="","",IF(M41&lt;&gt;"",YEAR(M41),IF(A41&lt;&gt;"",YEAR(A41),"")))</f>
        <v/>
      </c>
      <c r="S41" s="11">
        <f>IF(I41="","",IF(M41&lt;&gt;"",MONTH(M41),IF(A41&lt;&gt;"",MONTH(A41),"")))</f>
        <v/>
      </c>
    </row>
    <row r="42">
      <c r="A42" s="7" t="n"/>
      <c r="B42" s="8" t="n"/>
      <c r="C42" s="8" t="n"/>
      <c r="D42" s="8" t="n"/>
      <c r="E42" s="8" t="n"/>
      <c r="F42" s="9" t="n"/>
      <c r="G42" s="9" t="n"/>
      <c r="H42" s="8" t="n"/>
      <c r="I42" s="10">
        <f>IF(OR(F42&lt;&gt;"",G42&lt;&gt;""),ROUND(N(F42)+N(G42),2),"")</f>
        <v/>
      </c>
      <c r="J42" s="10">
        <f>IF(I42="","",IF(D42="Sostituto d'imposta",ROUND(I42*Parametri!$B$2,2),0))</f>
        <v/>
      </c>
      <c r="K42" s="11">
        <f>IF(I42="","",IF(I42&gt;Parametri!$B$4,"Si","No"))</f>
        <v/>
      </c>
      <c r="L42" s="10">
        <f>IF(I42="","",I42-J42+IF(AND(K42="Si",H42="Si"),Parametri!$B$3,0))</f>
        <v/>
      </c>
      <c r="M42" s="7" t="n"/>
      <c r="N42" s="9" t="n"/>
      <c r="O42" s="10">
        <f>IF(L42="","",ROUND(L42-N(N42),2))</f>
        <v/>
      </c>
      <c r="P42" s="8" t="n"/>
      <c r="Q42" s="8" t="n"/>
      <c r="R42" s="11">
        <f>IF(I42="","",IF(M42&lt;&gt;"",YEAR(M42),IF(A42&lt;&gt;"",YEAR(A42),"")))</f>
        <v/>
      </c>
      <c r="S42" s="11">
        <f>IF(I42="","",IF(M42&lt;&gt;"",MONTH(M42),IF(A42&lt;&gt;"",MONTH(A42),"")))</f>
        <v/>
      </c>
    </row>
    <row r="43">
      <c r="A43" s="7" t="n"/>
      <c r="B43" s="8" t="n"/>
      <c r="C43" s="8" t="n"/>
      <c r="D43" s="8" t="n"/>
      <c r="E43" s="8" t="n"/>
      <c r="F43" s="9" t="n"/>
      <c r="G43" s="9" t="n"/>
      <c r="H43" s="8" t="n"/>
      <c r="I43" s="10">
        <f>IF(OR(F43&lt;&gt;"",G43&lt;&gt;""),ROUND(N(F43)+N(G43),2),"")</f>
        <v/>
      </c>
      <c r="J43" s="10">
        <f>IF(I43="","",IF(D43="Sostituto d'imposta",ROUND(I43*Parametri!$B$2,2),0))</f>
        <v/>
      </c>
      <c r="K43" s="11">
        <f>IF(I43="","",IF(I43&gt;Parametri!$B$4,"Si","No"))</f>
        <v/>
      </c>
      <c r="L43" s="10">
        <f>IF(I43="","",I43-J43+IF(AND(K43="Si",H43="Si"),Parametri!$B$3,0))</f>
        <v/>
      </c>
      <c r="M43" s="7" t="n"/>
      <c r="N43" s="9" t="n"/>
      <c r="O43" s="10">
        <f>IF(L43="","",ROUND(L43-N(N43),2))</f>
        <v/>
      </c>
      <c r="P43" s="8" t="n"/>
      <c r="Q43" s="8" t="n"/>
      <c r="R43" s="11">
        <f>IF(I43="","",IF(M43&lt;&gt;"",YEAR(M43),IF(A43&lt;&gt;"",YEAR(A43),"")))</f>
        <v/>
      </c>
      <c r="S43" s="11">
        <f>IF(I43="","",IF(M43&lt;&gt;"",MONTH(M43),IF(A43&lt;&gt;"",MONTH(A43),"")))</f>
        <v/>
      </c>
    </row>
    <row r="44">
      <c r="A44" s="7" t="n"/>
      <c r="B44" s="8" t="n"/>
      <c r="C44" s="8" t="n"/>
      <c r="D44" s="8" t="n"/>
      <c r="E44" s="8" t="n"/>
      <c r="F44" s="9" t="n"/>
      <c r="G44" s="9" t="n"/>
      <c r="H44" s="8" t="n"/>
      <c r="I44" s="10">
        <f>IF(OR(F44&lt;&gt;"",G44&lt;&gt;""),ROUND(N(F44)+N(G44),2),"")</f>
        <v/>
      </c>
      <c r="J44" s="10">
        <f>IF(I44="","",IF(D44="Sostituto d'imposta",ROUND(I44*Parametri!$B$2,2),0))</f>
        <v/>
      </c>
      <c r="K44" s="11">
        <f>IF(I44="","",IF(I44&gt;Parametri!$B$4,"Si","No"))</f>
        <v/>
      </c>
      <c r="L44" s="10">
        <f>IF(I44="","",I44-J44+IF(AND(K44="Si",H44="Si"),Parametri!$B$3,0))</f>
        <v/>
      </c>
      <c r="M44" s="7" t="n"/>
      <c r="N44" s="9" t="n"/>
      <c r="O44" s="10">
        <f>IF(L44="","",ROUND(L44-N(N44),2))</f>
        <v/>
      </c>
      <c r="P44" s="8" t="n"/>
      <c r="Q44" s="8" t="n"/>
      <c r="R44" s="11">
        <f>IF(I44="","",IF(M44&lt;&gt;"",YEAR(M44),IF(A44&lt;&gt;"",YEAR(A44),"")))</f>
        <v/>
      </c>
      <c r="S44" s="11">
        <f>IF(I44="","",IF(M44&lt;&gt;"",MONTH(M44),IF(A44&lt;&gt;"",MONTH(A44),"")))</f>
        <v/>
      </c>
    </row>
    <row r="45">
      <c r="A45" s="7" t="n"/>
      <c r="B45" s="8" t="n"/>
      <c r="C45" s="8" t="n"/>
      <c r="D45" s="8" t="n"/>
      <c r="E45" s="8" t="n"/>
      <c r="F45" s="9" t="n"/>
      <c r="G45" s="9" t="n"/>
      <c r="H45" s="8" t="n"/>
      <c r="I45" s="10">
        <f>IF(OR(F45&lt;&gt;"",G45&lt;&gt;""),ROUND(N(F45)+N(G45),2),"")</f>
        <v/>
      </c>
      <c r="J45" s="10">
        <f>IF(I45="","",IF(D45="Sostituto d'imposta",ROUND(I45*Parametri!$B$2,2),0))</f>
        <v/>
      </c>
      <c r="K45" s="11">
        <f>IF(I45="","",IF(I45&gt;Parametri!$B$4,"Si","No"))</f>
        <v/>
      </c>
      <c r="L45" s="10">
        <f>IF(I45="","",I45-J45+IF(AND(K45="Si",H45="Si"),Parametri!$B$3,0))</f>
        <v/>
      </c>
      <c r="M45" s="7" t="n"/>
      <c r="N45" s="9" t="n"/>
      <c r="O45" s="10">
        <f>IF(L45="","",ROUND(L45-N(N45),2))</f>
        <v/>
      </c>
      <c r="P45" s="8" t="n"/>
      <c r="Q45" s="8" t="n"/>
      <c r="R45" s="11">
        <f>IF(I45="","",IF(M45&lt;&gt;"",YEAR(M45),IF(A45&lt;&gt;"",YEAR(A45),"")))</f>
        <v/>
      </c>
      <c r="S45" s="11">
        <f>IF(I45="","",IF(M45&lt;&gt;"",MONTH(M45),IF(A45&lt;&gt;"",MONTH(A45),"")))</f>
        <v/>
      </c>
    </row>
    <row r="46">
      <c r="A46" s="7" t="n"/>
      <c r="B46" s="8" t="n"/>
      <c r="C46" s="8" t="n"/>
      <c r="D46" s="8" t="n"/>
      <c r="E46" s="8" t="n"/>
      <c r="F46" s="9" t="n"/>
      <c r="G46" s="9" t="n"/>
      <c r="H46" s="8" t="n"/>
      <c r="I46" s="10">
        <f>IF(OR(F46&lt;&gt;"",G46&lt;&gt;""),ROUND(N(F46)+N(G46),2),"")</f>
        <v/>
      </c>
      <c r="J46" s="10">
        <f>IF(I46="","",IF(D46="Sostituto d'imposta",ROUND(I46*Parametri!$B$2,2),0))</f>
        <v/>
      </c>
      <c r="K46" s="11">
        <f>IF(I46="","",IF(I46&gt;Parametri!$B$4,"Si","No"))</f>
        <v/>
      </c>
      <c r="L46" s="10">
        <f>IF(I46="","",I46-J46+IF(AND(K46="Si",H46="Si"),Parametri!$B$3,0))</f>
        <v/>
      </c>
      <c r="M46" s="7" t="n"/>
      <c r="N46" s="9" t="n"/>
      <c r="O46" s="10">
        <f>IF(L46="","",ROUND(L46-N(N46),2))</f>
        <v/>
      </c>
      <c r="P46" s="8" t="n"/>
      <c r="Q46" s="8" t="n"/>
      <c r="R46" s="11">
        <f>IF(I46="","",IF(M46&lt;&gt;"",YEAR(M46),IF(A46&lt;&gt;"",YEAR(A46),"")))</f>
        <v/>
      </c>
      <c r="S46" s="11">
        <f>IF(I46="","",IF(M46&lt;&gt;"",MONTH(M46),IF(A46&lt;&gt;"",MONTH(A46),"")))</f>
        <v/>
      </c>
    </row>
    <row r="47">
      <c r="A47" s="7" t="n"/>
      <c r="B47" s="8" t="n"/>
      <c r="C47" s="8" t="n"/>
      <c r="D47" s="8" t="n"/>
      <c r="E47" s="8" t="n"/>
      <c r="F47" s="9" t="n"/>
      <c r="G47" s="9" t="n"/>
      <c r="H47" s="8" t="n"/>
      <c r="I47" s="10">
        <f>IF(OR(F47&lt;&gt;"",G47&lt;&gt;""),ROUND(N(F47)+N(G47),2),"")</f>
        <v/>
      </c>
      <c r="J47" s="10">
        <f>IF(I47="","",IF(D47="Sostituto d'imposta",ROUND(I47*Parametri!$B$2,2),0))</f>
        <v/>
      </c>
      <c r="K47" s="11">
        <f>IF(I47="","",IF(I47&gt;Parametri!$B$4,"Si","No"))</f>
        <v/>
      </c>
      <c r="L47" s="10">
        <f>IF(I47="","",I47-J47+IF(AND(K47="Si",H47="Si"),Parametri!$B$3,0))</f>
        <v/>
      </c>
      <c r="M47" s="7" t="n"/>
      <c r="N47" s="9" t="n"/>
      <c r="O47" s="10">
        <f>IF(L47="","",ROUND(L47-N(N47),2))</f>
        <v/>
      </c>
      <c r="P47" s="8" t="n"/>
      <c r="Q47" s="8" t="n"/>
      <c r="R47" s="11">
        <f>IF(I47="","",IF(M47&lt;&gt;"",YEAR(M47),IF(A47&lt;&gt;"",YEAR(A47),"")))</f>
        <v/>
      </c>
      <c r="S47" s="11">
        <f>IF(I47="","",IF(M47&lt;&gt;"",MONTH(M47),IF(A47&lt;&gt;"",MONTH(A47),"")))</f>
        <v/>
      </c>
    </row>
    <row r="48">
      <c r="A48" s="7" t="n"/>
      <c r="B48" s="8" t="n"/>
      <c r="C48" s="8" t="n"/>
      <c r="D48" s="8" t="n"/>
      <c r="E48" s="8" t="n"/>
      <c r="F48" s="9" t="n"/>
      <c r="G48" s="9" t="n"/>
      <c r="H48" s="8" t="n"/>
      <c r="I48" s="10">
        <f>IF(OR(F48&lt;&gt;"",G48&lt;&gt;""),ROUND(N(F48)+N(G48),2),"")</f>
        <v/>
      </c>
      <c r="J48" s="10">
        <f>IF(I48="","",IF(D48="Sostituto d'imposta",ROUND(I48*Parametri!$B$2,2),0))</f>
        <v/>
      </c>
      <c r="K48" s="11">
        <f>IF(I48="","",IF(I48&gt;Parametri!$B$4,"Si","No"))</f>
        <v/>
      </c>
      <c r="L48" s="10">
        <f>IF(I48="","",I48-J48+IF(AND(K48="Si",H48="Si"),Parametri!$B$3,0))</f>
        <v/>
      </c>
      <c r="M48" s="7" t="n"/>
      <c r="N48" s="9" t="n"/>
      <c r="O48" s="10">
        <f>IF(L48="","",ROUND(L48-N(N48),2))</f>
        <v/>
      </c>
      <c r="P48" s="8" t="n"/>
      <c r="Q48" s="8" t="n"/>
      <c r="R48" s="11">
        <f>IF(I48="","",IF(M48&lt;&gt;"",YEAR(M48),IF(A48&lt;&gt;"",YEAR(A48),"")))</f>
        <v/>
      </c>
      <c r="S48" s="11">
        <f>IF(I48="","",IF(M48&lt;&gt;"",MONTH(M48),IF(A48&lt;&gt;"",MONTH(A48),"")))</f>
        <v/>
      </c>
    </row>
    <row r="49">
      <c r="A49" s="7" t="n"/>
      <c r="B49" s="8" t="n"/>
      <c r="C49" s="8" t="n"/>
      <c r="D49" s="8" t="n"/>
      <c r="E49" s="8" t="n"/>
      <c r="F49" s="9" t="n"/>
      <c r="G49" s="9" t="n"/>
      <c r="H49" s="8" t="n"/>
      <c r="I49" s="10">
        <f>IF(OR(F49&lt;&gt;"",G49&lt;&gt;""),ROUND(N(F49)+N(G49),2),"")</f>
        <v/>
      </c>
      <c r="J49" s="10">
        <f>IF(I49="","",IF(D49="Sostituto d'imposta",ROUND(I49*Parametri!$B$2,2),0))</f>
        <v/>
      </c>
      <c r="K49" s="11">
        <f>IF(I49="","",IF(I49&gt;Parametri!$B$4,"Si","No"))</f>
        <v/>
      </c>
      <c r="L49" s="10">
        <f>IF(I49="","",I49-J49+IF(AND(K49="Si",H49="Si"),Parametri!$B$3,0))</f>
        <v/>
      </c>
      <c r="M49" s="7" t="n"/>
      <c r="N49" s="9" t="n"/>
      <c r="O49" s="10">
        <f>IF(L49="","",ROUND(L49-N(N49),2))</f>
        <v/>
      </c>
      <c r="P49" s="8" t="n"/>
      <c r="Q49" s="8" t="n"/>
      <c r="R49" s="11">
        <f>IF(I49="","",IF(M49&lt;&gt;"",YEAR(M49),IF(A49&lt;&gt;"",YEAR(A49),"")))</f>
        <v/>
      </c>
      <c r="S49" s="11">
        <f>IF(I49="","",IF(M49&lt;&gt;"",MONTH(M49),IF(A49&lt;&gt;"",MONTH(A49),"")))</f>
        <v/>
      </c>
    </row>
    <row r="50">
      <c r="A50" s="7" t="n"/>
      <c r="B50" s="8" t="n"/>
      <c r="C50" s="8" t="n"/>
      <c r="D50" s="8" t="n"/>
      <c r="E50" s="8" t="n"/>
      <c r="F50" s="9" t="n"/>
      <c r="G50" s="9" t="n"/>
      <c r="H50" s="8" t="n"/>
      <c r="I50" s="10">
        <f>IF(OR(F50&lt;&gt;"",G50&lt;&gt;""),ROUND(N(F50)+N(G50),2),"")</f>
        <v/>
      </c>
      <c r="J50" s="10">
        <f>IF(I50="","",IF(D50="Sostituto d'imposta",ROUND(I50*Parametri!$B$2,2),0))</f>
        <v/>
      </c>
      <c r="K50" s="11">
        <f>IF(I50="","",IF(I50&gt;Parametri!$B$4,"Si","No"))</f>
        <v/>
      </c>
      <c r="L50" s="10">
        <f>IF(I50="","",I50-J50+IF(AND(K50="Si",H50="Si"),Parametri!$B$3,0))</f>
        <v/>
      </c>
      <c r="M50" s="7" t="n"/>
      <c r="N50" s="9" t="n"/>
      <c r="O50" s="10">
        <f>IF(L50="","",ROUND(L50-N(N50),2))</f>
        <v/>
      </c>
      <c r="P50" s="8" t="n"/>
      <c r="Q50" s="8" t="n"/>
      <c r="R50" s="11">
        <f>IF(I50="","",IF(M50&lt;&gt;"",YEAR(M50),IF(A50&lt;&gt;"",YEAR(A50),"")))</f>
        <v/>
      </c>
      <c r="S50" s="11">
        <f>IF(I50="","",IF(M50&lt;&gt;"",MONTH(M50),IF(A50&lt;&gt;"",MONTH(A50),"")))</f>
        <v/>
      </c>
    </row>
    <row r="51">
      <c r="A51" s="7" t="n"/>
      <c r="B51" s="8" t="n"/>
      <c r="C51" s="8" t="n"/>
      <c r="D51" s="8" t="n"/>
      <c r="E51" s="8" t="n"/>
      <c r="F51" s="9" t="n"/>
      <c r="G51" s="9" t="n"/>
      <c r="H51" s="8" t="n"/>
      <c r="I51" s="10">
        <f>IF(OR(F51&lt;&gt;"",G51&lt;&gt;""),ROUND(N(F51)+N(G51),2),"")</f>
        <v/>
      </c>
      <c r="J51" s="10">
        <f>IF(I51="","",IF(D51="Sostituto d'imposta",ROUND(I51*Parametri!$B$2,2),0))</f>
        <v/>
      </c>
      <c r="K51" s="11">
        <f>IF(I51="","",IF(I51&gt;Parametri!$B$4,"Si","No"))</f>
        <v/>
      </c>
      <c r="L51" s="10">
        <f>IF(I51="","",I51-J51+IF(AND(K51="Si",H51="Si"),Parametri!$B$3,0))</f>
        <v/>
      </c>
      <c r="M51" s="7" t="n"/>
      <c r="N51" s="9" t="n"/>
      <c r="O51" s="10">
        <f>IF(L51="","",ROUND(L51-N(N51),2))</f>
        <v/>
      </c>
      <c r="P51" s="8" t="n"/>
      <c r="Q51" s="8" t="n"/>
      <c r="R51" s="11">
        <f>IF(I51="","",IF(M51&lt;&gt;"",YEAR(M51),IF(A51&lt;&gt;"",YEAR(A51),"")))</f>
        <v/>
      </c>
      <c r="S51" s="11">
        <f>IF(I51="","",IF(M51&lt;&gt;"",MONTH(M51),IF(A51&lt;&gt;"",MONTH(A51),"")))</f>
        <v/>
      </c>
    </row>
    <row r="52">
      <c r="A52" s="7" t="n"/>
      <c r="B52" s="8" t="n"/>
      <c r="C52" s="8" t="n"/>
      <c r="D52" s="8" t="n"/>
      <c r="E52" s="8" t="n"/>
      <c r="F52" s="9" t="n"/>
      <c r="G52" s="9" t="n"/>
      <c r="H52" s="8" t="n"/>
      <c r="I52" s="10">
        <f>IF(OR(F52&lt;&gt;"",G52&lt;&gt;""),ROUND(N(F52)+N(G52),2),"")</f>
        <v/>
      </c>
      <c r="J52" s="10">
        <f>IF(I52="","",IF(D52="Sostituto d'imposta",ROUND(I52*Parametri!$B$2,2),0))</f>
        <v/>
      </c>
      <c r="K52" s="11">
        <f>IF(I52="","",IF(I52&gt;Parametri!$B$4,"Si","No"))</f>
        <v/>
      </c>
      <c r="L52" s="10">
        <f>IF(I52="","",I52-J52+IF(AND(K52="Si",H52="Si"),Parametri!$B$3,0))</f>
        <v/>
      </c>
      <c r="M52" s="7" t="n"/>
      <c r="N52" s="9" t="n"/>
      <c r="O52" s="10">
        <f>IF(L52="","",ROUND(L52-N(N52),2))</f>
        <v/>
      </c>
      <c r="P52" s="8" t="n"/>
      <c r="Q52" s="8" t="n"/>
      <c r="R52" s="11">
        <f>IF(I52="","",IF(M52&lt;&gt;"",YEAR(M52),IF(A52&lt;&gt;"",YEAR(A52),"")))</f>
        <v/>
      </c>
      <c r="S52" s="11">
        <f>IF(I52="","",IF(M52&lt;&gt;"",MONTH(M52),IF(A52&lt;&gt;"",MONTH(A52),"")))</f>
        <v/>
      </c>
    </row>
    <row r="53">
      <c r="A53" s="7" t="n"/>
      <c r="B53" s="8" t="n"/>
      <c r="C53" s="8" t="n"/>
      <c r="D53" s="8" t="n"/>
      <c r="E53" s="8" t="n"/>
      <c r="F53" s="9" t="n"/>
      <c r="G53" s="9" t="n"/>
      <c r="H53" s="8" t="n"/>
      <c r="I53" s="10">
        <f>IF(OR(F53&lt;&gt;"",G53&lt;&gt;""),ROUND(N(F53)+N(G53),2),"")</f>
        <v/>
      </c>
      <c r="J53" s="10">
        <f>IF(I53="","",IF(D53="Sostituto d'imposta",ROUND(I53*Parametri!$B$2,2),0))</f>
        <v/>
      </c>
      <c r="K53" s="11">
        <f>IF(I53="","",IF(I53&gt;Parametri!$B$4,"Si","No"))</f>
        <v/>
      </c>
      <c r="L53" s="10">
        <f>IF(I53="","",I53-J53+IF(AND(K53="Si",H53="Si"),Parametri!$B$3,0))</f>
        <v/>
      </c>
      <c r="M53" s="7" t="n"/>
      <c r="N53" s="9" t="n"/>
      <c r="O53" s="10">
        <f>IF(L53="","",ROUND(L53-N(N53),2))</f>
        <v/>
      </c>
      <c r="P53" s="8" t="n"/>
      <c r="Q53" s="8" t="n"/>
      <c r="R53" s="11">
        <f>IF(I53="","",IF(M53&lt;&gt;"",YEAR(M53),IF(A53&lt;&gt;"",YEAR(A53),"")))</f>
        <v/>
      </c>
      <c r="S53" s="11">
        <f>IF(I53="","",IF(M53&lt;&gt;"",MONTH(M53),IF(A53&lt;&gt;"",MONTH(A53),"")))</f>
        <v/>
      </c>
    </row>
    <row r="54">
      <c r="A54" s="7" t="n"/>
      <c r="B54" s="8" t="n"/>
      <c r="C54" s="8" t="n"/>
      <c r="D54" s="8" t="n"/>
      <c r="E54" s="8" t="n"/>
      <c r="F54" s="9" t="n"/>
      <c r="G54" s="9" t="n"/>
      <c r="H54" s="8" t="n"/>
      <c r="I54" s="10">
        <f>IF(OR(F54&lt;&gt;"",G54&lt;&gt;""),ROUND(N(F54)+N(G54),2),"")</f>
        <v/>
      </c>
      <c r="J54" s="10">
        <f>IF(I54="","",IF(D54="Sostituto d'imposta",ROUND(I54*Parametri!$B$2,2),0))</f>
        <v/>
      </c>
      <c r="K54" s="11">
        <f>IF(I54="","",IF(I54&gt;Parametri!$B$4,"Si","No"))</f>
        <v/>
      </c>
      <c r="L54" s="10">
        <f>IF(I54="","",I54-J54+IF(AND(K54="Si",H54="Si"),Parametri!$B$3,0))</f>
        <v/>
      </c>
      <c r="M54" s="7" t="n"/>
      <c r="N54" s="9" t="n"/>
      <c r="O54" s="10">
        <f>IF(L54="","",ROUND(L54-N(N54),2))</f>
        <v/>
      </c>
      <c r="P54" s="8" t="n"/>
      <c r="Q54" s="8" t="n"/>
      <c r="R54" s="11">
        <f>IF(I54="","",IF(M54&lt;&gt;"",YEAR(M54),IF(A54&lt;&gt;"",YEAR(A54),"")))</f>
        <v/>
      </c>
      <c r="S54" s="11">
        <f>IF(I54="","",IF(M54&lt;&gt;"",MONTH(M54),IF(A54&lt;&gt;"",MONTH(A54),"")))</f>
        <v/>
      </c>
    </row>
    <row r="55">
      <c r="A55" s="7" t="n"/>
      <c r="B55" s="8" t="n"/>
      <c r="C55" s="8" t="n"/>
      <c r="D55" s="8" t="n"/>
      <c r="E55" s="8" t="n"/>
      <c r="F55" s="9" t="n"/>
      <c r="G55" s="9" t="n"/>
      <c r="H55" s="8" t="n"/>
      <c r="I55" s="10">
        <f>IF(OR(F55&lt;&gt;"",G55&lt;&gt;""),ROUND(N(F55)+N(G55),2),"")</f>
        <v/>
      </c>
      <c r="J55" s="10">
        <f>IF(I55="","",IF(D55="Sostituto d'imposta",ROUND(I55*Parametri!$B$2,2),0))</f>
        <v/>
      </c>
      <c r="K55" s="11">
        <f>IF(I55="","",IF(I55&gt;Parametri!$B$4,"Si","No"))</f>
        <v/>
      </c>
      <c r="L55" s="10">
        <f>IF(I55="","",I55-J55+IF(AND(K55="Si",H55="Si"),Parametri!$B$3,0))</f>
        <v/>
      </c>
      <c r="M55" s="7" t="n"/>
      <c r="N55" s="9" t="n"/>
      <c r="O55" s="10">
        <f>IF(L55="","",ROUND(L55-N(N55),2))</f>
        <v/>
      </c>
      <c r="P55" s="8" t="n"/>
      <c r="Q55" s="8" t="n"/>
      <c r="R55" s="11">
        <f>IF(I55="","",IF(M55&lt;&gt;"",YEAR(M55),IF(A55&lt;&gt;"",YEAR(A55),"")))</f>
        <v/>
      </c>
      <c r="S55" s="11">
        <f>IF(I55="","",IF(M55&lt;&gt;"",MONTH(M55),IF(A55&lt;&gt;"",MONTH(A55),"")))</f>
        <v/>
      </c>
    </row>
    <row r="56">
      <c r="A56" s="7" t="n"/>
      <c r="B56" s="8" t="n"/>
      <c r="C56" s="8" t="n"/>
      <c r="D56" s="8" t="n"/>
      <c r="E56" s="8" t="n"/>
      <c r="F56" s="9" t="n"/>
      <c r="G56" s="9" t="n"/>
      <c r="H56" s="8" t="n"/>
      <c r="I56" s="10">
        <f>IF(OR(F56&lt;&gt;"",G56&lt;&gt;""),ROUND(N(F56)+N(G56),2),"")</f>
        <v/>
      </c>
      <c r="J56" s="10">
        <f>IF(I56="","",IF(D56="Sostituto d'imposta",ROUND(I56*Parametri!$B$2,2),0))</f>
        <v/>
      </c>
      <c r="K56" s="11">
        <f>IF(I56="","",IF(I56&gt;Parametri!$B$4,"Si","No"))</f>
        <v/>
      </c>
      <c r="L56" s="10">
        <f>IF(I56="","",I56-J56+IF(AND(K56="Si",H56="Si"),Parametri!$B$3,0))</f>
        <v/>
      </c>
      <c r="M56" s="7" t="n"/>
      <c r="N56" s="9" t="n"/>
      <c r="O56" s="10">
        <f>IF(L56="","",ROUND(L56-N(N56),2))</f>
        <v/>
      </c>
      <c r="P56" s="8" t="n"/>
      <c r="Q56" s="8" t="n"/>
      <c r="R56" s="11">
        <f>IF(I56="","",IF(M56&lt;&gt;"",YEAR(M56),IF(A56&lt;&gt;"",YEAR(A56),"")))</f>
        <v/>
      </c>
      <c r="S56" s="11">
        <f>IF(I56="","",IF(M56&lt;&gt;"",MONTH(M56),IF(A56&lt;&gt;"",MONTH(A56),"")))</f>
        <v/>
      </c>
    </row>
    <row r="57">
      <c r="A57" s="7" t="n"/>
      <c r="B57" s="8" t="n"/>
      <c r="C57" s="8" t="n"/>
      <c r="D57" s="8" t="n"/>
      <c r="E57" s="8" t="n"/>
      <c r="F57" s="9" t="n"/>
      <c r="G57" s="9" t="n"/>
      <c r="H57" s="8" t="n"/>
      <c r="I57" s="10">
        <f>IF(OR(F57&lt;&gt;"",G57&lt;&gt;""),ROUND(N(F57)+N(G57),2),"")</f>
        <v/>
      </c>
      <c r="J57" s="10">
        <f>IF(I57="","",IF(D57="Sostituto d'imposta",ROUND(I57*Parametri!$B$2,2),0))</f>
        <v/>
      </c>
      <c r="K57" s="11">
        <f>IF(I57="","",IF(I57&gt;Parametri!$B$4,"Si","No"))</f>
        <v/>
      </c>
      <c r="L57" s="10">
        <f>IF(I57="","",I57-J57+IF(AND(K57="Si",H57="Si"),Parametri!$B$3,0))</f>
        <v/>
      </c>
      <c r="M57" s="7" t="n"/>
      <c r="N57" s="9" t="n"/>
      <c r="O57" s="10">
        <f>IF(L57="","",ROUND(L57-N(N57),2))</f>
        <v/>
      </c>
      <c r="P57" s="8" t="n"/>
      <c r="Q57" s="8" t="n"/>
      <c r="R57" s="11">
        <f>IF(I57="","",IF(M57&lt;&gt;"",YEAR(M57),IF(A57&lt;&gt;"",YEAR(A57),"")))</f>
        <v/>
      </c>
      <c r="S57" s="11">
        <f>IF(I57="","",IF(M57&lt;&gt;"",MONTH(M57),IF(A57&lt;&gt;"",MONTH(A57),"")))</f>
        <v/>
      </c>
    </row>
    <row r="58">
      <c r="A58" s="7" t="n"/>
      <c r="B58" s="8" t="n"/>
      <c r="C58" s="8" t="n"/>
      <c r="D58" s="8" t="n"/>
      <c r="E58" s="8" t="n"/>
      <c r="F58" s="9" t="n"/>
      <c r="G58" s="9" t="n"/>
      <c r="H58" s="8" t="n"/>
      <c r="I58" s="10">
        <f>IF(OR(F58&lt;&gt;"",G58&lt;&gt;""),ROUND(N(F58)+N(G58),2),"")</f>
        <v/>
      </c>
      <c r="J58" s="10">
        <f>IF(I58="","",IF(D58="Sostituto d'imposta",ROUND(I58*Parametri!$B$2,2),0))</f>
        <v/>
      </c>
      <c r="K58" s="11">
        <f>IF(I58="","",IF(I58&gt;Parametri!$B$4,"Si","No"))</f>
        <v/>
      </c>
      <c r="L58" s="10">
        <f>IF(I58="","",I58-J58+IF(AND(K58="Si",H58="Si"),Parametri!$B$3,0))</f>
        <v/>
      </c>
      <c r="M58" s="7" t="n"/>
      <c r="N58" s="9" t="n"/>
      <c r="O58" s="10">
        <f>IF(L58="","",ROUND(L58-N(N58),2))</f>
        <v/>
      </c>
      <c r="P58" s="8" t="n"/>
      <c r="Q58" s="8" t="n"/>
      <c r="R58" s="11">
        <f>IF(I58="","",IF(M58&lt;&gt;"",YEAR(M58),IF(A58&lt;&gt;"",YEAR(A58),"")))</f>
        <v/>
      </c>
      <c r="S58" s="11">
        <f>IF(I58="","",IF(M58&lt;&gt;"",MONTH(M58),IF(A58&lt;&gt;"",MONTH(A58),"")))</f>
        <v/>
      </c>
    </row>
    <row r="59">
      <c r="A59" s="7" t="n"/>
      <c r="B59" s="8" t="n"/>
      <c r="C59" s="8" t="n"/>
      <c r="D59" s="8" t="n"/>
      <c r="E59" s="8" t="n"/>
      <c r="F59" s="9" t="n"/>
      <c r="G59" s="9" t="n"/>
      <c r="H59" s="8" t="n"/>
      <c r="I59" s="10">
        <f>IF(OR(F59&lt;&gt;"",G59&lt;&gt;""),ROUND(N(F59)+N(G59),2),"")</f>
        <v/>
      </c>
      <c r="J59" s="10">
        <f>IF(I59="","",IF(D59="Sostituto d'imposta",ROUND(I59*Parametri!$B$2,2),0))</f>
        <v/>
      </c>
      <c r="K59" s="11">
        <f>IF(I59="","",IF(I59&gt;Parametri!$B$4,"Si","No"))</f>
        <v/>
      </c>
      <c r="L59" s="10">
        <f>IF(I59="","",I59-J59+IF(AND(K59="Si",H59="Si"),Parametri!$B$3,0))</f>
        <v/>
      </c>
      <c r="M59" s="7" t="n"/>
      <c r="N59" s="9" t="n"/>
      <c r="O59" s="10">
        <f>IF(L59="","",ROUND(L59-N(N59),2))</f>
        <v/>
      </c>
      <c r="P59" s="8" t="n"/>
      <c r="Q59" s="8" t="n"/>
      <c r="R59" s="11">
        <f>IF(I59="","",IF(M59&lt;&gt;"",YEAR(M59),IF(A59&lt;&gt;"",YEAR(A59),"")))</f>
        <v/>
      </c>
      <c r="S59" s="11">
        <f>IF(I59="","",IF(M59&lt;&gt;"",MONTH(M59),IF(A59&lt;&gt;"",MONTH(A59),"")))</f>
        <v/>
      </c>
    </row>
    <row r="60">
      <c r="A60" s="7" t="n"/>
      <c r="B60" s="8" t="n"/>
      <c r="C60" s="8" t="n"/>
      <c r="D60" s="8" t="n"/>
      <c r="E60" s="8" t="n"/>
      <c r="F60" s="9" t="n"/>
      <c r="G60" s="9" t="n"/>
      <c r="H60" s="8" t="n"/>
      <c r="I60" s="10">
        <f>IF(OR(F60&lt;&gt;"",G60&lt;&gt;""),ROUND(N(F60)+N(G60),2),"")</f>
        <v/>
      </c>
      <c r="J60" s="10">
        <f>IF(I60="","",IF(D60="Sostituto d'imposta",ROUND(I60*Parametri!$B$2,2),0))</f>
        <v/>
      </c>
      <c r="K60" s="11">
        <f>IF(I60="","",IF(I60&gt;Parametri!$B$4,"Si","No"))</f>
        <v/>
      </c>
      <c r="L60" s="10">
        <f>IF(I60="","",I60-J60+IF(AND(K60="Si",H60="Si"),Parametri!$B$3,0))</f>
        <v/>
      </c>
      <c r="M60" s="7" t="n"/>
      <c r="N60" s="9" t="n"/>
      <c r="O60" s="10">
        <f>IF(L60="","",ROUND(L60-N(N60),2))</f>
        <v/>
      </c>
      <c r="P60" s="8" t="n"/>
      <c r="Q60" s="8" t="n"/>
      <c r="R60" s="11">
        <f>IF(I60="","",IF(M60&lt;&gt;"",YEAR(M60),IF(A60&lt;&gt;"",YEAR(A60),"")))</f>
        <v/>
      </c>
      <c r="S60" s="11">
        <f>IF(I60="","",IF(M60&lt;&gt;"",MONTH(M60),IF(A60&lt;&gt;"",MONTH(A60),"")))</f>
        <v/>
      </c>
    </row>
    <row r="61">
      <c r="A61" s="7" t="n"/>
      <c r="B61" s="8" t="n"/>
      <c r="C61" s="8" t="n"/>
      <c r="D61" s="8" t="n"/>
      <c r="E61" s="8" t="n"/>
      <c r="F61" s="9" t="n"/>
      <c r="G61" s="9" t="n"/>
      <c r="H61" s="8" t="n"/>
      <c r="I61" s="10">
        <f>IF(OR(F61&lt;&gt;"",G61&lt;&gt;""),ROUND(N(F61)+N(G61),2),"")</f>
        <v/>
      </c>
      <c r="J61" s="10">
        <f>IF(I61="","",IF(D61="Sostituto d'imposta",ROUND(I61*Parametri!$B$2,2),0))</f>
        <v/>
      </c>
      <c r="K61" s="11">
        <f>IF(I61="","",IF(I61&gt;Parametri!$B$4,"Si","No"))</f>
        <v/>
      </c>
      <c r="L61" s="10">
        <f>IF(I61="","",I61-J61+IF(AND(K61="Si",H61="Si"),Parametri!$B$3,0))</f>
        <v/>
      </c>
      <c r="M61" s="7" t="n"/>
      <c r="N61" s="9" t="n"/>
      <c r="O61" s="10">
        <f>IF(L61="","",ROUND(L61-N(N61),2))</f>
        <v/>
      </c>
      <c r="P61" s="8" t="n"/>
      <c r="Q61" s="8" t="n"/>
      <c r="R61" s="11">
        <f>IF(I61="","",IF(M61&lt;&gt;"",YEAR(M61),IF(A61&lt;&gt;"",YEAR(A61),"")))</f>
        <v/>
      </c>
      <c r="S61" s="11">
        <f>IF(I61="","",IF(M61&lt;&gt;"",MONTH(M61),IF(A61&lt;&gt;"",MONTH(A61),"")))</f>
        <v/>
      </c>
    </row>
    <row r="62">
      <c r="A62" s="7" t="n"/>
      <c r="B62" s="8" t="n"/>
      <c r="C62" s="8" t="n"/>
      <c r="D62" s="8" t="n"/>
      <c r="E62" s="8" t="n"/>
      <c r="F62" s="9" t="n"/>
      <c r="G62" s="9" t="n"/>
      <c r="H62" s="8" t="n"/>
      <c r="I62" s="10">
        <f>IF(OR(F62&lt;&gt;"",G62&lt;&gt;""),ROUND(N(F62)+N(G62),2),"")</f>
        <v/>
      </c>
      <c r="J62" s="10">
        <f>IF(I62="","",IF(D62="Sostituto d'imposta",ROUND(I62*Parametri!$B$2,2),0))</f>
        <v/>
      </c>
      <c r="K62" s="11">
        <f>IF(I62="","",IF(I62&gt;Parametri!$B$4,"Si","No"))</f>
        <v/>
      </c>
      <c r="L62" s="10">
        <f>IF(I62="","",I62-J62+IF(AND(K62="Si",H62="Si"),Parametri!$B$3,0))</f>
        <v/>
      </c>
      <c r="M62" s="7" t="n"/>
      <c r="N62" s="9" t="n"/>
      <c r="O62" s="10">
        <f>IF(L62="","",ROUND(L62-N(N62),2))</f>
        <v/>
      </c>
      <c r="P62" s="8" t="n"/>
      <c r="Q62" s="8" t="n"/>
      <c r="R62" s="11">
        <f>IF(I62="","",IF(M62&lt;&gt;"",YEAR(M62),IF(A62&lt;&gt;"",YEAR(A62),"")))</f>
        <v/>
      </c>
      <c r="S62" s="11">
        <f>IF(I62="","",IF(M62&lt;&gt;"",MONTH(M62),IF(A62&lt;&gt;"",MONTH(A62),"")))</f>
        <v/>
      </c>
    </row>
    <row r="63">
      <c r="A63" s="7" t="n"/>
      <c r="B63" s="8" t="n"/>
      <c r="C63" s="8" t="n"/>
      <c r="D63" s="8" t="n"/>
      <c r="E63" s="8" t="n"/>
      <c r="F63" s="9" t="n"/>
      <c r="G63" s="9" t="n"/>
      <c r="H63" s="8" t="n"/>
      <c r="I63" s="10">
        <f>IF(OR(F63&lt;&gt;"",G63&lt;&gt;""),ROUND(N(F63)+N(G63),2),"")</f>
        <v/>
      </c>
      <c r="J63" s="10">
        <f>IF(I63="","",IF(D63="Sostituto d'imposta",ROUND(I63*Parametri!$B$2,2),0))</f>
        <v/>
      </c>
      <c r="K63" s="11">
        <f>IF(I63="","",IF(I63&gt;Parametri!$B$4,"Si","No"))</f>
        <v/>
      </c>
      <c r="L63" s="10">
        <f>IF(I63="","",I63-J63+IF(AND(K63="Si",H63="Si"),Parametri!$B$3,0))</f>
        <v/>
      </c>
      <c r="M63" s="7" t="n"/>
      <c r="N63" s="9" t="n"/>
      <c r="O63" s="10">
        <f>IF(L63="","",ROUND(L63-N(N63),2))</f>
        <v/>
      </c>
      <c r="P63" s="8" t="n"/>
      <c r="Q63" s="8" t="n"/>
      <c r="R63" s="11">
        <f>IF(I63="","",IF(M63&lt;&gt;"",YEAR(M63),IF(A63&lt;&gt;"",YEAR(A63),"")))</f>
        <v/>
      </c>
      <c r="S63" s="11">
        <f>IF(I63="","",IF(M63&lt;&gt;"",MONTH(M63),IF(A63&lt;&gt;"",MONTH(A63),"")))</f>
        <v/>
      </c>
    </row>
    <row r="64">
      <c r="A64" s="7" t="n"/>
      <c r="B64" s="8" t="n"/>
      <c r="C64" s="8" t="n"/>
      <c r="D64" s="8" t="n"/>
      <c r="E64" s="8" t="n"/>
      <c r="F64" s="9" t="n"/>
      <c r="G64" s="9" t="n"/>
      <c r="H64" s="8" t="n"/>
      <c r="I64" s="10">
        <f>IF(OR(F64&lt;&gt;"",G64&lt;&gt;""),ROUND(N(F64)+N(G64),2),"")</f>
        <v/>
      </c>
      <c r="J64" s="10">
        <f>IF(I64="","",IF(D64="Sostituto d'imposta",ROUND(I64*Parametri!$B$2,2),0))</f>
        <v/>
      </c>
      <c r="K64" s="11">
        <f>IF(I64="","",IF(I64&gt;Parametri!$B$4,"Si","No"))</f>
        <v/>
      </c>
      <c r="L64" s="10">
        <f>IF(I64="","",I64-J64+IF(AND(K64="Si",H64="Si"),Parametri!$B$3,0))</f>
        <v/>
      </c>
      <c r="M64" s="7" t="n"/>
      <c r="N64" s="9" t="n"/>
      <c r="O64" s="10">
        <f>IF(L64="","",ROUND(L64-N(N64),2))</f>
        <v/>
      </c>
      <c r="P64" s="8" t="n"/>
      <c r="Q64" s="8" t="n"/>
      <c r="R64" s="11">
        <f>IF(I64="","",IF(M64&lt;&gt;"",YEAR(M64),IF(A64&lt;&gt;"",YEAR(A64),"")))</f>
        <v/>
      </c>
      <c r="S64" s="11">
        <f>IF(I64="","",IF(M64&lt;&gt;"",MONTH(M64),IF(A64&lt;&gt;"",MONTH(A64),"")))</f>
        <v/>
      </c>
    </row>
    <row r="65">
      <c r="A65" s="7" t="n"/>
      <c r="B65" s="8" t="n"/>
      <c r="C65" s="8" t="n"/>
      <c r="D65" s="8" t="n"/>
      <c r="E65" s="8" t="n"/>
      <c r="F65" s="9" t="n"/>
      <c r="G65" s="9" t="n"/>
      <c r="H65" s="8" t="n"/>
      <c r="I65" s="10">
        <f>IF(OR(F65&lt;&gt;"",G65&lt;&gt;""),ROUND(N(F65)+N(G65),2),"")</f>
        <v/>
      </c>
      <c r="J65" s="10">
        <f>IF(I65="","",IF(D65="Sostituto d'imposta",ROUND(I65*Parametri!$B$2,2),0))</f>
        <v/>
      </c>
      <c r="K65" s="11">
        <f>IF(I65="","",IF(I65&gt;Parametri!$B$4,"Si","No"))</f>
        <v/>
      </c>
      <c r="L65" s="10">
        <f>IF(I65="","",I65-J65+IF(AND(K65="Si",H65="Si"),Parametri!$B$3,0))</f>
        <v/>
      </c>
      <c r="M65" s="7" t="n"/>
      <c r="N65" s="9" t="n"/>
      <c r="O65" s="10">
        <f>IF(L65="","",ROUND(L65-N(N65),2))</f>
        <v/>
      </c>
      <c r="P65" s="8" t="n"/>
      <c r="Q65" s="8" t="n"/>
      <c r="R65" s="11">
        <f>IF(I65="","",IF(M65&lt;&gt;"",YEAR(M65),IF(A65&lt;&gt;"",YEAR(A65),"")))</f>
        <v/>
      </c>
      <c r="S65" s="11">
        <f>IF(I65="","",IF(M65&lt;&gt;"",MONTH(M65),IF(A65&lt;&gt;"",MONTH(A65),"")))</f>
        <v/>
      </c>
    </row>
    <row r="66">
      <c r="A66" s="7" t="n"/>
      <c r="B66" s="8" t="n"/>
      <c r="C66" s="8" t="n"/>
      <c r="D66" s="8" t="n"/>
      <c r="E66" s="8" t="n"/>
      <c r="F66" s="9" t="n"/>
      <c r="G66" s="9" t="n"/>
      <c r="H66" s="8" t="n"/>
      <c r="I66" s="10">
        <f>IF(OR(F66&lt;&gt;"",G66&lt;&gt;""),ROUND(N(F66)+N(G66),2),"")</f>
        <v/>
      </c>
      <c r="J66" s="10">
        <f>IF(I66="","",IF(D66="Sostituto d'imposta",ROUND(I66*Parametri!$B$2,2),0))</f>
        <v/>
      </c>
      <c r="K66" s="11">
        <f>IF(I66="","",IF(I66&gt;Parametri!$B$4,"Si","No"))</f>
        <v/>
      </c>
      <c r="L66" s="10">
        <f>IF(I66="","",I66-J66+IF(AND(K66="Si",H66="Si"),Parametri!$B$3,0))</f>
        <v/>
      </c>
      <c r="M66" s="7" t="n"/>
      <c r="N66" s="9" t="n"/>
      <c r="O66" s="10">
        <f>IF(L66="","",ROUND(L66-N(N66),2))</f>
        <v/>
      </c>
      <c r="P66" s="8" t="n"/>
      <c r="Q66" s="8" t="n"/>
      <c r="R66" s="11">
        <f>IF(I66="","",IF(M66&lt;&gt;"",YEAR(M66),IF(A66&lt;&gt;"",YEAR(A66),"")))</f>
        <v/>
      </c>
      <c r="S66" s="11">
        <f>IF(I66="","",IF(M66&lt;&gt;"",MONTH(M66),IF(A66&lt;&gt;"",MONTH(A66),"")))</f>
        <v/>
      </c>
    </row>
    <row r="67">
      <c r="A67" s="7" t="n"/>
      <c r="B67" s="8" t="n"/>
      <c r="C67" s="8" t="n"/>
      <c r="D67" s="8" t="n"/>
      <c r="E67" s="8" t="n"/>
      <c r="F67" s="9" t="n"/>
      <c r="G67" s="9" t="n"/>
      <c r="H67" s="8" t="n"/>
      <c r="I67" s="10">
        <f>IF(OR(F67&lt;&gt;"",G67&lt;&gt;""),ROUND(N(F67)+N(G67),2),"")</f>
        <v/>
      </c>
      <c r="J67" s="10">
        <f>IF(I67="","",IF(D67="Sostituto d'imposta",ROUND(I67*Parametri!$B$2,2),0))</f>
        <v/>
      </c>
      <c r="K67" s="11">
        <f>IF(I67="","",IF(I67&gt;Parametri!$B$4,"Si","No"))</f>
        <v/>
      </c>
      <c r="L67" s="10">
        <f>IF(I67="","",I67-J67+IF(AND(K67="Si",H67="Si"),Parametri!$B$3,0))</f>
        <v/>
      </c>
      <c r="M67" s="7" t="n"/>
      <c r="N67" s="9" t="n"/>
      <c r="O67" s="10">
        <f>IF(L67="","",ROUND(L67-N(N67),2))</f>
        <v/>
      </c>
      <c r="P67" s="8" t="n"/>
      <c r="Q67" s="8" t="n"/>
      <c r="R67" s="11">
        <f>IF(I67="","",IF(M67&lt;&gt;"",YEAR(M67),IF(A67&lt;&gt;"",YEAR(A67),"")))</f>
        <v/>
      </c>
      <c r="S67" s="11">
        <f>IF(I67="","",IF(M67&lt;&gt;"",MONTH(M67),IF(A67&lt;&gt;"",MONTH(A67),"")))</f>
        <v/>
      </c>
    </row>
    <row r="68">
      <c r="A68" s="7" t="n"/>
      <c r="B68" s="8" t="n"/>
      <c r="C68" s="8" t="n"/>
      <c r="D68" s="8" t="n"/>
      <c r="E68" s="8" t="n"/>
      <c r="F68" s="9" t="n"/>
      <c r="G68" s="9" t="n"/>
      <c r="H68" s="8" t="n"/>
      <c r="I68" s="10">
        <f>IF(OR(F68&lt;&gt;"",G68&lt;&gt;""),ROUND(N(F68)+N(G68),2),"")</f>
        <v/>
      </c>
      <c r="J68" s="10">
        <f>IF(I68="","",IF(D68="Sostituto d'imposta",ROUND(I68*Parametri!$B$2,2),0))</f>
        <v/>
      </c>
      <c r="K68" s="11">
        <f>IF(I68="","",IF(I68&gt;Parametri!$B$4,"Si","No"))</f>
        <v/>
      </c>
      <c r="L68" s="10">
        <f>IF(I68="","",I68-J68+IF(AND(K68="Si",H68="Si"),Parametri!$B$3,0))</f>
        <v/>
      </c>
      <c r="M68" s="7" t="n"/>
      <c r="N68" s="9" t="n"/>
      <c r="O68" s="10">
        <f>IF(L68="","",ROUND(L68-N(N68),2))</f>
        <v/>
      </c>
      <c r="P68" s="8" t="n"/>
      <c r="Q68" s="8" t="n"/>
      <c r="R68" s="11">
        <f>IF(I68="","",IF(M68&lt;&gt;"",YEAR(M68),IF(A68&lt;&gt;"",YEAR(A68),"")))</f>
        <v/>
      </c>
      <c r="S68" s="11">
        <f>IF(I68="","",IF(M68&lt;&gt;"",MONTH(M68),IF(A68&lt;&gt;"",MONTH(A68),"")))</f>
        <v/>
      </c>
    </row>
    <row r="69">
      <c r="A69" s="7" t="n"/>
      <c r="B69" s="8" t="n"/>
      <c r="C69" s="8" t="n"/>
      <c r="D69" s="8" t="n"/>
      <c r="E69" s="8" t="n"/>
      <c r="F69" s="9" t="n"/>
      <c r="G69" s="9" t="n"/>
      <c r="H69" s="8" t="n"/>
      <c r="I69" s="10">
        <f>IF(OR(F69&lt;&gt;"",G69&lt;&gt;""),ROUND(N(F69)+N(G69),2),"")</f>
        <v/>
      </c>
      <c r="J69" s="10">
        <f>IF(I69="","",IF(D69="Sostituto d'imposta",ROUND(I69*Parametri!$B$2,2),0))</f>
        <v/>
      </c>
      <c r="K69" s="11">
        <f>IF(I69="","",IF(I69&gt;Parametri!$B$4,"Si","No"))</f>
        <v/>
      </c>
      <c r="L69" s="10">
        <f>IF(I69="","",I69-J69+IF(AND(K69="Si",H69="Si"),Parametri!$B$3,0))</f>
        <v/>
      </c>
      <c r="M69" s="7" t="n"/>
      <c r="N69" s="9" t="n"/>
      <c r="O69" s="10">
        <f>IF(L69="","",ROUND(L69-N(N69),2))</f>
        <v/>
      </c>
      <c r="P69" s="8" t="n"/>
      <c r="Q69" s="8" t="n"/>
      <c r="R69" s="11">
        <f>IF(I69="","",IF(M69&lt;&gt;"",YEAR(M69),IF(A69&lt;&gt;"",YEAR(A69),"")))</f>
        <v/>
      </c>
      <c r="S69" s="11">
        <f>IF(I69="","",IF(M69&lt;&gt;"",MONTH(M69),IF(A69&lt;&gt;"",MONTH(A69),"")))</f>
        <v/>
      </c>
    </row>
    <row r="70">
      <c r="A70" s="7" t="n"/>
      <c r="B70" s="8" t="n"/>
      <c r="C70" s="8" t="n"/>
      <c r="D70" s="8" t="n"/>
      <c r="E70" s="8" t="n"/>
      <c r="F70" s="9" t="n"/>
      <c r="G70" s="9" t="n"/>
      <c r="H70" s="8" t="n"/>
      <c r="I70" s="10">
        <f>IF(OR(F70&lt;&gt;"",G70&lt;&gt;""),ROUND(N(F70)+N(G70),2),"")</f>
        <v/>
      </c>
      <c r="J70" s="10">
        <f>IF(I70="","",IF(D70="Sostituto d'imposta",ROUND(I70*Parametri!$B$2,2),0))</f>
        <v/>
      </c>
      <c r="K70" s="11">
        <f>IF(I70="","",IF(I70&gt;Parametri!$B$4,"Si","No"))</f>
        <v/>
      </c>
      <c r="L70" s="10">
        <f>IF(I70="","",I70-J70+IF(AND(K70="Si",H70="Si"),Parametri!$B$3,0))</f>
        <v/>
      </c>
      <c r="M70" s="7" t="n"/>
      <c r="N70" s="9" t="n"/>
      <c r="O70" s="10">
        <f>IF(L70="","",ROUND(L70-N(N70),2))</f>
        <v/>
      </c>
      <c r="P70" s="8" t="n"/>
      <c r="Q70" s="8" t="n"/>
      <c r="R70" s="11">
        <f>IF(I70="","",IF(M70&lt;&gt;"",YEAR(M70),IF(A70&lt;&gt;"",YEAR(A70),"")))</f>
        <v/>
      </c>
      <c r="S70" s="11">
        <f>IF(I70="","",IF(M70&lt;&gt;"",MONTH(M70),IF(A70&lt;&gt;"",MONTH(A70),"")))</f>
        <v/>
      </c>
    </row>
    <row r="71">
      <c r="A71" s="7" t="n"/>
      <c r="B71" s="8" t="n"/>
      <c r="C71" s="8" t="n"/>
      <c r="D71" s="8" t="n"/>
      <c r="E71" s="8" t="n"/>
      <c r="F71" s="9" t="n"/>
      <c r="G71" s="9" t="n"/>
      <c r="H71" s="8" t="n"/>
      <c r="I71" s="10">
        <f>IF(OR(F71&lt;&gt;"",G71&lt;&gt;""),ROUND(N(F71)+N(G71),2),"")</f>
        <v/>
      </c>
      <c r="J71" s="10">
        <f>IF(I71="","",IF(D71="Sostituto d'imposta",ROUND(I71*Parametri!$B$2,2),0))</f>
        <v/>
      </c>
      <c r="K71" s="11">
        <f>IF(I71="","",IF(I71&gt;Parametri!$B$4,"Si","No"))</f>
        <v/>
      </c>
      <c r="L71" s="10">
        <f>IF(I71="","",I71-J71+IF(AND(K71="Si",H71="Si"),Parametri!$B$3,0))</f>
        <v/>
      </c>
      <c r="M71" s="7" t="n"/>
      <c r="N71" s="9" t="n"/>
      <c r="O71" s="10">
        <f>IF(L71="","",ROUND(L71-N(N71),2))</f>
        <v/>
      </c>
      <c r="P71" s="8" t="n"/>
      <c r="Q71" s="8" t="n"/>
      <c r="R71" s="11">
        <f>IF(I71="","",IF(M71&lt;&gt;"",YEAR(M71),IF(A71&lt;&gt;"",YEAR(A71),"")))</f>
        <v/>
      </c>
      <c r="S71" s="11">
        <f>IF(I71="","",IF(M71&lt;&gt;"",MONTH(M71),IF(A71&lt;&gt;"",MONTH(A71),"")))</f>
        <v/>
      </c>
    </row>
    <row r="72">
      <c r="A72" s="7" t="n"/>
      <c r="B72" s="8" t="n"/>
      <c r="C72" s="8" t="n"/>
      <c r="D72" s="8" t="n"/>
      <c r="E72" s="8" t="n"/>
      <c r="F72" s="9" t="n"/>
      <c r="G72" s="9" t="n"/>
      <c r="H72" s="8" t="n"/>
      <c r="I72" s="10">
        <f>IF(OR(F72&lt;&gt;"",G72&lt;&gt;""),ROUND(N(F72)+N(G72),2),"")</f>
        <v/>
      </c>
      <c r="J72" s="10">
        <f>IF(I72="","",IF(D72="Sostituto d'imposta",ROUND(I72*Parametri!$B$2,2),0))</f>
        <v/>
      </c>
      <c r="K72" s="11">
        <f>IF(I72="","",IF(I72&gt;Parametri!$B$4,"Si","No"))</f>
        <v/>
      </c>
      <c r="L72" s="10">
        <f>IF(I72="","",I72-J72+IF(AND(K72="Si",H72="Si"),Parametri!$B$3,0))</f>
        <v/>
      </c>
      <c r="M72" s="7" t="n"/>
      <c r="N72" s="9" t="n"/>
      <c r="O72" s="10">
        <f>IF(L72="","",ROUND(L72-N(N72),2))</f>
        <v/>
      </c>
      <c r="P72" s="8" t="n"/>
      <c r="Q72" s="8" t="n"/>
      <c r="R72" s="11">
        <f>IF(I72="","",IF(M72&lt;&gt;"",YEAR(M72),IF(A72&lt;&gt;"",YEAR(A72),"")))</f>
        <v/>
      </c>
      <c r="S72" s="11">
        <f>IF(I72="","",IF(M72&lt;&gt;"",MONTH(M72),IF(A72&lt;&gt;"",MONTH(A72),"")))</f>
        <v/>
      </c>
    </row>
    <row r="73">
      <c r="A73" s="7" t="n"/>
      <c r="B73" s="8" t="n"/>
      <c r="C73" s="8" t="n"/>
      <c r="D73" s="8" t="n"/>
      <c r="E73" s="8" t="n"/>
      <c r="F73" s="9" t="n"/>
      <c r="G73" s="9" t="n"/>
      <c r="H73" s="8" t="n"/>
      <c r="I73" s="10">
        <f>IF(OR(F73&lt;&gt;"",G73&lt;&gt;""),ROUND(N(F73)+N(G73),2),"")</f>
        <v/>
      </c>
      <c r="J73" s="10">
        <f>IF(I73="","",IF(D73="Sostituto d'imposta",ROUND(I73*Parametri!$B$2,2),0))</f>
        <v/>
      </c>
      <c r="K73" s="11">
        <f>IF(I73="","",IF(I73&gt;Parametri!$B$4,"Si","No"))</f>
        <v/>
      </c>
      <c r="L73" s="10">
        <f>IF(I73="","",I73-J73+IF(AND(K73="Si",H73="Si"),Parametri!$B$3,0))</f>
        <v/>
      </c>
      <c r="M73" s="7" t="n"/>
      <c r="N73" s="9" t="n"/>
      <c r="O73" s="10">
        <f>IF(L73="","",ROUND(L73-N(N73),2))</f>
        <v/>
      </c>
      <c r="P73" s="8" t="n"/>
      <c r="Q73" s="8" t="n"/>
      <c r="R73" s="11">
        <f>IF(I73="","",IF(M73&lt;&gt;"",YEAR(M73),IF(A73&lt;&gt;"",YEAR(A73),"")))</f>
        <v/>
      </c>
      <c r="S73" s="11">
        <f>IF(I73="","",IF(M73&lt;&gt;"",MONTH(M73),IF(A73&lt;&gt;"",MONTH(A73),"")))</f>
        <v/>
      </c>
    </row>
    <row r="74">
      <c r="A74" s="7" t="n"/>
      <c r="B74" s="8" t="n"/>
      <c r="C74" s="8" t="n"/>
      <c r="D74" s="8" t="n"/>
      <c r="E74" s="8" t="n"/>
      <c r="F74" s="9" t="n"/>
      <c r="G74" s="9" t="n"/>
      <c r="H74" s="8" t="n"/>
      <c r="I74" s="10">
        <f>IF(OR(F74&lt;&gt;"",G74&lt;&gt;""),ROUND(N(F74)+N(G74),2),"")</f>
        <v/>
      </c>
      <c r="J74" s="10">
        <f>IF(I74="","",IF(D74="Sostituto d'imposta",ROUND(I74*Parametri!$B$2,2),0))</f>
        <v/>
      </c>
      <c r="K74" s="11">
        <f>IF(I74="","",IF(I74&gt;Parametri!$B$4,"Si","No"))</f>
        <v/>
      </c>
      <c r="L74" s="10">
        <f>IF(I74="","",I74-J74+IF(AND(K74="Si",H74="Si"),Parametri!$B$3,0))</f>
        <v/>
      </c>
      <c r="M74" s="7" t="n"/>
      <c r="N74" s="9" t="n"/>
      <c r="O74" s="10">
        <f>IF(L74="","",ROUND(L74-N(N74),2))</f>
        <v/>
      </c>
      <c r="P74" s="8" t="n"/>
      <c r="Q74" s="8" t="n"/>
      <c r="R74" s="11">
        <f>IF(I74="","",IF(M74&lt;&gt;"",YEAR(M74),IF(A74&lt;&gt;"",YEAR(A74),"")))</f>
        <v/>
      </c>
      <c r="S74" s="11">
        <f>IF(I74="","",IF(M74&lt;&gt;"",MONTH(M74),IF(A74&lt;&gt;"",MONTH(A74),"")))</f>
        <v/>
      </c>
    </row>
    <row r="75">
      <c r="A75" s="7" t="n"/>
      <c r="B75" s="8" t="n"/>
      <c r="C75" s="8" t="n"/>
      <c r="D75" s="8" t="n"/>
      <c r="E75" s="8" t="n"/>
      <c r="F75" s="9" t="n"/>
      <c r="G75" s="9" t="n"/>
      <c r="H75" s="8" t="n"/>
      <c r="I75" s="10">
        <f>IF(OR(F75&lt;&gt;"",G75&lt;&gt;""),ROUND(N(F75)+N(G75),2),"")</f>
        <v/>
      </c>
      <c r="J75" s="10">
        <f>IF(I75="","",IF(D75="Sostituto d'imposta",ROUND(I75*Parametri!$B$2,2),0))</f>
        <v/>
      </c>
      <c r="K75" s="11">
        <f>IF(I75="","",IF(I75&gt;Parametri!$B$4,"Si","No"))</f>
        <v/>
      </c>
      <c r="L75" s="10">
        <f>IF(I75="","",I75-J75+IF(AND(K75="Si",H75="Si"),Parametri!$B$3,0))</f>
        <v/>
      </c>
      <c r="M75" s="7" t="n"/>
      <c r="N75" s="9" t="n"/>
      <c r="O75" s="10">
        <f>IF(L75="","",ROUND(L75-N(N75),2))</f>
        <v/>
      </c>
      <c r="P75" s="8" t="n"/>
      <c r="Q75" s="8" t="n"/>
      <c r="R75" s="11">
        <f>IF(I75="","",IF(M75&lt;&gt;"",YEAR(M75),IF(A75&lt;&gt;"",YEAR(A75),"")))</f>
        <v/>
      </c>
      <c r="S75" s="11">
        <f>IF(I75="","",IF(M75&lt;&gt;"",MONTH(M75),IF(A75&lt;&gt;"",MONTH(A75),"")))</f>
        <v/>
      </c>
    </row>
    <row r="76">
      <c r="A76" s="7" t="n"/>
      <c r="B76" s="8" t="n"/>
      <c r="C76" s="8" t="n"/>
      <c r="D76" s="8" t="n"/>
      <c r="E76" s="8" t="n"/>
      <c r="F76" s="9" t="n"/>
      <c r="G76" s="9" t="n"/>
      <c r="H76" s="8" t="n"/>
      <c r="I76" s="10">
        <f>IF(OR(F76&lt;&gt;"",G76&lt;&gt;""),ROUND(N(F76)+N(G76),2),"")</f>
        <v/>
      </c>
      <c r="J76" s="10">
        <f>IF(I76="","",IF(D76="Sostituto d'imposta",ROUND(I76*Parametri!$B$2,2),0))</f>
        <v/>
      </c>
      <c r="K76" s="11">
        <f>IF(I76="","",IF(I76&gt;Parametri!$B$4,"Si","No"))</f>
        <v/>
      </c>
      <c r="L76" s="10">
        <f>IF(I76="","",I76-J76+IF(AND(K76="Si",H76="Si"),Parametri!$B$3,0))</f>
        <v/>
      </c>
      <c r="M76" s="7" t="n"/>
      <c r="N76" s="9" t="n"/>
      <c r="O76" s="10">
        <f>IF(L76="","",ROUND(L76-N(N76),2))</f>
        <v/>
      </c>
      <c r="P76" s="8" t="n"/>
      <c r="Q76" s="8" t="n"/>
      <c r="R76" s="11">
        <f>IF(I76="","",IF(M76&lt;&gt;"",YEAR(M76),IF(A76&lt;&gt;"",YEAR(A76),"")))</f>
        <v/>
      </c>
      <c r="S76" s="11">
        <f>IF(I76="","",IF(M76&lt;&gt;"",MONTH(M76),IF(A76&lt;&gt;"",MONTH(A76),"")))</f>
        <v/>
      </c>
    </row>
    <row r="77">
      <c r="A77" s="7" t="n"/>
      <c r="B77" s="8" t="n"/>
      <c r="C77" s="8" t="n"/>
      <c r="D77" s="8" t="n"/>
      <c r="E77" s="8" t="n"/>
      <c r="F77" s="9" t="n"/>
      <c r="G77" s="9" t="n"/>
      <c r="H77" s="8" t="n"/>
      <c r="I77" s="10">
        <f>IF(OR(F77&lt;&gt;"",G77&lt;&gt;""),ROUND(N(F77)+N(G77),2),"")</f>
        <v/>
      </c>
      <c r="J77" s="10">
        <f>IF(I77="","",IF(D77="Sostituto d'imposta",ROUND(I77*Parametri!$B$2,2),0))</f>
        <v/>
      </c>
      <c r="K77" s="11">
        <f>IF(I77="","",IF(I77&gt;Parametri!$B$4,"Si","No"))</f>
        <v/>
      </c>
      <c r="L77" s="10">
        <f>IF(I77="","",I77-J77+IF(AND(K77="Si",H77="Si"),Parametri!$B$3,0))</f>
        <v/>
      </c>
      <c r="M77" s="7" t="n"/>
      <c r="N77" s="9" t="n"/>
      <c r="O77" s="10">
        <f>IF(L77="","",ROUND(L77-N(N77),2))</f>
        <v/>
      </c>
      <c r="P77" s="8" t="n"/>
      <c r="Q77" s="8" t="n"/>
      <c r="R77" s="11">
        <f>IF(I77="","",IF(M77&lt;&gt;"",YEAR(M77),IF(A77&lt;&gt;"",YEAR(A77),"")))</f>
        <v/>
      </c>
      <c r="S77" s="11">
        <f>IF(I77="","",IF(M77&lt;&gt;"",MONTH(M77),IF(A77&lt;&gt;"",MONTH(A77),"")))</f>
        <v/>
      </c>
    </row>
    <row r="78">
      <c r="A78" s="7" t="n"/>
      <c r="B78" s="8" t="n"/>
      <c r="C78" s="8" t="n"/>
      <c r="D78" s="8" t="n"/>
      <c r="E78" s="8" t="n"/>
      <c r="F78" s="9" t="n"/>
      <c r="G78" s="9" t="n"/>
      <c r="H78" s="8" t="n"/>
      <c r="I78" s="10">
        <f>IF(OR(F78&lt;&gt;"",G78&lt;&gt;""),ROUND(N(F78)+N(G78),2),"")</f>
        <v/>
      </c>
      <c r="J78" s="10">
        <f>IF(I78="","",IF(D78="Sostituto d'imposta",ROUND(I78*Parametri!$B$2,2),0))</f>
        <v/>
      </c>
      <c r="K78" s="11">
        <f>IF(I78="","",IF(I78&gt;Parametri!$B$4,"Si","No"))</f>
        <v/>
      </c>
      <c r="L78" s="10">
        <f>IF(I78="","",I78-J78+IF(AND(K78="Si",H78="Si"),Parametri!$B$3,0))</f>
        <v/>
      </c>
      <c r="M78" s="7" t="n"/>
      <c r="N78" s="9" t="n"/>
      <c r="O78" s="10">
        <f>IF(L78="","",ROUND(L78-N(N78),2))</f>
        <v/>
      </c>
      <c r="P78" s="8" t="n"/>
      <c r="Q78" s="8" t="n"/>
      <c r="R78" s="11">
        <f>IF(I78="","",IF(M78&lt;&gt;"",YEAR(M78),IF(A78&lt;&gt;"",YEAR(A78),"")))</f>
        <v/>
      </c>
      <c r="S78" s="11">
        <f>IF(I78="","",IF(M78&lt;&gt;"",MONTH(M78),IF(A78&lt;&gt;"",MONTH(A78),"")))</f>
        <v/>
      </c>
    </row>
    <row r="79">
      <c r="A79" s="7" t="n"/>
      <c r="B79" s="8" t="n"/>
      <c r="C79" s="8" t="n"/>
      <c r="D79" s="8" t="n"/>
      <c r="E79" s="8" t="n"/>
      <c r="F79" s="9" t="n"/>
      <c r="G79" s="9" t="n"/>
      <c r="H79" s="8" t="n"/>
      <c r="I79" s="10">
        <f>IF(OR(F79&lt;&gt;"",G79&lt;&gt;""),ROUND(N(F79)+N(G79),2),"")</f>
        <v/>
      </c>
      <c r="J79" s="10">
        <f>IF(I79="","",IF(D79="Sostituto d'imposta",ROUND(I79*Parametri!$B$2,2),0))</f>
        <v/>
      </c>
      <c r="K79" s="11">
        <f>IF(I79="","",IF(I79&gt;Parametri!$B$4,"Si","No"))</f>
        <v/>
      </c>
      <c r="L79" s="10">
        <f>IF(I79="","",I79-J79+IF(AND(K79="Si",H79="Si"),Parametri!$B$3,0))</f>
        <v/>
      </c>
      <c r="M79" s="7" t="n"/>
      <c r="N79" s="9" t="n"/>
      <c r="O79" s="10">
        <f>IF(L79="","",ROUND(L79-N(N79),2))</f>
        <v/>
      </c>
      <c r="P79" s="8" t="n"/>
      <c r="Q79" s="8" t="n"/>
      <c r="R79" s="11">
        <f>IF(I79="","",IF(M79&lt;&gt;"",YEAR(M79),IF(A79&lt;&gt;"",YEAR(A79),"")))</f>
        <v/>
      </c>
      <c r="S79" s="11">
        <f>IF(I79="","",IF(M79&lt;&gt;"",MONTH(M79),IF(A79&lt;&gt;"",MONTH(A79),"")))</f>
        <v/>
      </c>
    </row>
    <row r="80">
      <c r="A80" s="7" t="n"/>
      <c r="B80" s="8" t="n"/>
      <c r="C80" s="8" t="n"/>
      <c r="D80" s="8" t="n"/>
      <c r="E80" s="8" t="n"/>
      <c r="F80" s="9" t="n"/>
      <c r="G80" s="9" t="n"/>
      <c r="H80" s="8" t="n"/>
      <c r="I80" s="10">
        <f>IF(OR(F80&lt;&gt;"",G80&lt;&gt;""),ROUND(N(F80)+N(G80),2),"")</f>
        <v/>
      </c>
      <c r="J80" s="10">
        <f>IF(I80="","",IF(D80="Sostituto d'imposta",ROUND(I80*Parametri!$B$2,2),0))</f>
        <v/>
      </c>
      <c r="K80" s="11">
        <f>IF(I80="","",IF(I80&gt;Parametri!$B$4,"Si","No"))</f>
        <v/>
      </c>
      <c r="L80" s="10">
        <f>IF(I80="","",I80-J80+IF(AND(K80="Si",H80="Si"),Parametri!$B$3,0))</f>
        <v/>
      </c>
      <c r="M80" s="7" t="n"/>
      <c r="N80" s="9" t="n"/>
      <c r="O80" s="10">
        <f>IF(L80="","",ROUND(L80-N(N80),2))</f>
        <v/>
      </c>
      <c r="P80" s="8" t="n"/>
      <c r="Q80" s="8" t="n"/>
      <c r="R80" s="11">
        <f>IF(I80="","",IF(M80&lt;&gt;"",YEAR(M80),IF(A80&lt;&gt;"",YEAR(A80),"")))</f>
        <v/>
      </c>
      <c r="S80" s="11">
        <f>IF(I80="","",IF(M80&lt;&gt;"",MONTH(M80),IF(A80&lt;&gt;"",MONTH(A80),"")))</f>
        <v/>
      </c>
    </row>
    <row r="81">
      <c r="A81" s="7" t="n"/>
      <c r="B81" s="8" t="n"/>
      <c r="C81" s="8" t="n"/>
      <c r="D81" s="8" t="n"/>
      <c r="E81" s="8" t="n"/>
      <c r="F81" s="9" t="n"/>
      <c r="G81" s="9" t="n"/>
      <c r="H81" s="8" t="n"/>
      <c r="I81" s="10">
        <f>IF(OR(F81&lt;&gt;"",G81&lt;&gt;""),ROUND(N(F81)+N(G81),2),"")</f>
        <v/>
      </c>
      <c r="J81" s="10">
        <f>IF(I81="","",IF(D81="Sostituto d'imposta",ROUND(I81*Parametri!$B$2,2),0))</f>
        <v/>
      </c>
      <c r="K81" s="11">
        <f>IF(I81="","",IF(I81&gt;Parametri!$B$4,"Si","No"))</f>
        <v/>
      </c>
      <c r="L81" s="10">
        <f>IF(I81="","",I81-J81+IF(AND(K81="Si",H81="Si"),Parametri!$B$3,0))</f>
        <v/>
      </c>
      <c r="M81" s="7" t="n"/>
      <c r="N81" s="9" t="n"/>
      <c r="O81" s="10">
        <f>IF(L81="","",ROUND(L81-N(N81),2))</f>
        <v/>
      </c>
      <c r="P81" s="8" t="n"/>
      <c r="Q81" s="8" t="n"/>
      <c r="R81" s="11">
        <f>IF(I81="","",IF(M81&lt;&gt;"",YEAR(M81),IF(A81&lt;&gt;"",YEAR(A81),"")))</f>
        <v/>
      </c>
      <c r="S81" s="11">
        <f>IF(I81="","",IF(M81&lt;&gt;"",MONTH(M81),IF(A81&lt;&gt;"",MONTH(A81),"")))</f>
        <v/>
      </c>
    </row>
    <row r="82">
      <c r="A82" s="7" t="n"/>
      <c r="B82" s="8" t="n"/>
      <c r="C82" s="8" t="n"/>
      <c r="D82" s="8" t="n"/>
      <c r="E82" s="8" t="n"/>
      <c r="F82" s="9" t="n"/>
      <c r="G82" s="9" t="n"/>
      <c r="H82" s="8" t="n"/>
      <c r="I82" s="10">
        <f>IF(OR(F82&lt;&gt;"",G82&lt;&gt;""),ROUND(N(F82)+N(G82),2),"")</f>
        <v/>
      </c>
      <c r="J82" s="10">
        <f>IF(I82="","",IF(D82="Sostituto d'imposta",ROUND(I82*Parametri!$B$2,2),0))</f>
        <v/>
      </c>
      <c r="K82" s="11">
        <f>IF(I82="","",IF(I82&gt;Parametri!$B$4,"Si","No"))</f>
        <v/>
      </c>
      <c r="L82" s="10">
        <f>IF(I82="","",I82-J82+IF(AND(K82="Si",H82="Si"),Parametri!$B$3,0))</f>
        <v/>
      </c>
      <c r="M82" s="7" t="n"/>
      <c r="N82" s="9" t="n"/>
      <c r="O82" s="10">
        <f>IF(L82="","",ROUND(L82-N(N82),2))</f>
        <v/>
      </c>
      <c r="P82" s="8" t="n"/>
      <c r="Q82" s="8" t="n"/>
      <c r="R82" s="11">
        <f>IF(I82="","",IF(M82&lt;&gt;"",YEAR(M82),IF(A82&lt;&gt;"",YEAR(A82),"")))</f>
        <v/>
      </c>
      <c r="S82" s="11">
        <f>IF(I82="","",IF(M82&lt;&gt;"",MONTH(M82),IF(A82&lt;&gt;"",MONTH(A82),"")))</f>
        <v/>
      </c>
    </row>
    <row r="83">
      <c r="A83" s="7" t="n"/>
      <c r="B83" s="8" t="n"/>
      <c r="C83" s="8" t="n"/>
      <c r="D83" s="8" t="n"/>
      <c r="E83" s="8" t="n"/>
      <c r="F83" s="9" t="n"/>
      <c r="G83" s="9" t="n"/>
      <c r="H83" s="8" t="n"/>
      <c r="I83" s="10">
        <f>IF(OR(F83&lt;&gt;"",G83&lt;&gt;""),ROUND(N(F83)+N(G83),2),"")</f>
        <v/>
      </c>
      <c r="J83" s="10">
        <f>IF(I83="","",IF(D83="Sostituto d'imposta",ROUND(I83*Parametri!$B$2,2),0))</f>
        <v/>
      </c>
      <c r="K83" s="11">
        <f>IF(I83="","",IF(I83&gt;Parametri!$B$4,"Si","No"))</f>
        <v/>
      </c>
      <c r="L83" s="10">
        <f>IF(I83="","",I83-J83+IF(AND(K83="Si",H83="Si"),Parametri!$B$3,0))</f>
        <v/>
      </c>
      <c r="M83" s="7" t="n"/>
      <c r="N83" s="9" t="n"/>
      <c r="O83" s="10">
        <f>IF(L83="","",ROUND(L83-N(N83),2))</f>
        <v/>
      </c>
      <c r="P83" s="8" t="n"/>
      <c r="Q83" s="8" t="n"/>
      <c r="R83" s="11">
        <f>IF(I83="","",IF(M83&lt;&gt;"",YEAR(M83),IF(A83&lt;&gt;"",YEAR(A83),"")))</f>
        <v/>
      </c>
      <c r="S83" s="11">
        <f>IF(I83="","",IF(M83&lt;&gt;"",MONTH(M83),IF(A83&lt;&gt;"",MONTH(A83),"")))</f>
        <v/>
      </c>
    </row>
    <row r="84">
      <c r="A84" s="7" t="n"/>
      <c r="B84" s="8" t="n"/>
      <c r="C84" s="8" t="n"/>
      <c r="D84" s="8" t="n"/>
      <c r="E84" s="8" t="n"/>
      <c r="F84" s="9" t="n"/>
      <c r="G84" s="9" t="n"/>
      <c r="H84" s="8" t="n"/>
      <c r="I84" s="10">
        <f>IF(OR(F84&lt;&gt;"",G84&lt;&gt;""),ROUND(N(F84)+N(G84),2),"")</f>
        <v/>
      </c>
      <c r="J84" s="10">
        <f>IF(I84="","",IF(D84="Sostituto d'imposta",ROUND(I84*Parametri!$B$2,2),0))</f>
        <v/>
      </c>
      <c r="K84" s="11">
        <f>IF(I84="","",IF(I84&gt;Parametri!$B$4,"Si","No"))</f>
        <v/>
      </c>
      <c r="L84" s="10">
        <f>IF(I84="","",I84-J84+IF(AND(K84="Si",H84="Si"),Parametri!$B$3,0))</f>
        <v/>
      </c>
      <c r="M84" s="7" t="n"/>
      <c r="N84" s="9" t="n"/>
      <c r="O84" s="10">
        <f>IF(L84="","",ROUND(L84-N(N84),2))</f>
        <v/>
      </c>
      <c r="P84" s="8" t="n"/>
      <c r="Q84" s="8" t="n"/>
      <c r="R84" s="11">
        <f>IF(I84="","",IF(M84&lt;&gt;"",YEAR(M84),IF(A84&lt;&gt;"",YEAR(A84),"")))</f>
        <v/>
      </c>
      <c r="S84" s="11">
        <f>IF(I84="","",IF(M84&lt;&gt;"",MONTH(M84),IF(A84&lt;&gt;"",MONTH(A84),"")))</f>
        <v/>
      </c>
    </row>
    <row r="85">
      <c r="A85" s="7" t="n"/>
      <c r="B85" s="8" t="n"/>
      <c r="C85" s="8" t="n"/>
      <c r="D85" s="8" t="n"/>
      <c r="E85" s="8" t="n"/>
      <c r="F85" s="9" t="n"/>
      <c r="G85" s="9" t="n"/>
      <c r="H85" s="8" t="n"/>
      <c r="I85" s="10">
        <f>IF(OR(F85&lt;&gt;"",G85&lt;&gt;""),ROUND(N(F85)+N(G85),2),"")</f>
        <v/>
      </c>
      <c r="J85" s="10">
        <f>IF(I85="","",IF(D85="Sostituto d'imposta",ROUND(I85*Parametri!$B$2,2),0))</f>
        <v/>
      </c>
      <c r="K85" s="11">
        <f>IF(I85="","",IF(I85&gt;Parametri!$B$4,"Si","No"))</f>
        <v/>
      </c>
      <c r="L85" s="10">
        <f>IF(I85="","",I85-J85+IF(AND(K85="Si",H85="Si"),Parametri!$B$3,0))</f>
        <v/>
      </c>
      <c r="M85" s="7" t="n"/>
      <c r="N85" s="9" t="n"/>
      <c r="O85" s="10">
        <f>IF(L85="","",ROUND(L85-N(N85),2))</f>
        <v/>
      </c>
      <c r="P85" s="8" t="n"/>
      <c r="Q85" s="8" t="n"/>
      <c r="R85" s="11">
        <f>IF(I85="","",IF(M85&lt;&gt;"",YEAR(M85),IF(A85&lt;&gt;"",YEAR(A85),"")))</f>
        <v/>
      </c>
      <c r="S85" s="11">
        <f>IF(I85="","",IF(M85&lt;&gt;"",MONTH(M85),IF(A85&lt;&gt;"",MONTH(A85),"")))</f>
        <v/>
      </c>
    </row>
    <row r="86">
      <c r="A86" s="7" t="n"/>
      <c r="B86" s="8" t="n"/>
      <c r="C86" s="8" t="n"/>
      <c r="D86" s="8" t="n"/>
      <c r="E86" s="8" t="n"/>
      <c r="F86" s="9" t="n"/>
      <c r="G86" s="9" t="n"/>
      <c r="H86" s="8" t="n"/>
      <c r="I86" s="10">
        <f>IF(OR(F86&lt;&gt;"",G86&lt;&gt;""),ROUND(N(F86)+N(G86),2),"")</f>
        <v/>
      </c>
      <c r="J86" s="10">
        <f>IF(I86="","",IF(D86="Sostituto d'imposta",ROUND(I86*Parametri!$B$2,2),0))</f>
        <v/>
      </c>
      <c r="K86" s="11">
        <f>IF(I86="","",IF(I86&gt;Parametri!$B$4,"Si","No"))</f>
        <v/>
      </c>
      <c r="L86" s="10">
        <f>IF(I86="","",I86-J86+IF(AND(K86="Si",H86="Si"),Parametri!$B$3,0))</f>
        <v/>
      </c>
      <c r="M86" s="7" t="n"/>
      <c r="N86" s="9" t="n"/>
      <c r="O86" s="10">
        <f>IF(L86="","",ROUND(L86-N(N86),2))</f>
        <v/>
      </c>
      <c r="P86" s="8" t="n"/>
      <c r="Q86" s="8" t="n"/>
      <c r="R86" s="11">
        <f>IF(I86="","",IF(M86&lt;&gt;"",YEAR(M86),IF(A86&lt;&gt;"",YEAR(A86),"")))</f>
        <v/>
      </c>
      <c r="S86" s="11">
        <f>IF(I86="","",IF(M86&lt;&gt;"",MONTH(M86),IF(A86&lt;&gt;"",MONTH(A86),"")))</f>
        <v/>
      </c>
    </row>
    <row r="87">
      <c r="A87" s="7" t="n"/>
      <c r="B87" s="8" t="n"/>
      <c r="C87" s="8" t="n"/>
      <c r="D87" s="8" t="n"/>
      <c r="E87" s="8" t="n"/>
      <c r="F87" s="9" t="n"/>
      <c r="G87" s="9" t="n"/>
      <c r="H87" s="8" t="n"/>
      <c r="I87" s="10">
        <f>IF(OR(F87&lt;&gt;"",G87&lt;&gt;""),ROUND(N(F87)+N(G87),2),"")</f>
        <v/>
      </c>
      <c r="J87" s="10">
        <f>IF(I87="","",IF(D87="Sostituto d'imposta",ROUND(I87*Parametri!$B$2,2),0))</f>
        <v/>
      </c>
      <c r="K87" s="11">
        <f>IF(I87="","",IF(I87&gt;Parametri!$B$4,"Si","No"))</f>
        <v/>
      </c>
      <c r="L87" s="10">
        <f>IF(I87="","",I87-J87+IF(AND(K87="Si",H87="Si"),Parametri!$B$3,0))</f>
        <v/>
      </c>
      <c r="M87" s="7" t="n"/>
      <c r="N87" s="9" t="n"/>
      <c r="O87" s="10">
        <f>IF(L87="","",ROUND(L87-N(N87),2))</f>
        <v/>
      </c>
      <c r="P87" s="8" t="n"/>
      <c r="Q87" s="8" t="n"/>
      <c r="R87" s="11">
        <f>IF(I87="","",IF(M87&lt;&gt;"",YEAR(M87),IF(A87&lt;&gt;"",YEAR(A87),"")))</f>
        <v/>
      </c>
      <c r="S87" s="11">
        <f>IF(I87="","",IF(M87&lt;&gt;"",MONTH(M87),IF(A87&lt;&gt;"",MONTH(A87),"")))</f>
        <v/>
      </c>
    </row>
    <row r="88">
      <c r="A88" s="7" t="n"/>
      <c r="B88" s="8" t="n"/>
      <c r="C88" s="8" t="n"/>
      <c r="D88" s="8" t="n"/>
      <c r="E88" s="8" t="n"/>
      <c r="F88" s="9" t="n"/>
      <c r="G88" s="9" t="n"/>
      <c r="H88" s="8" t="n"/>
      <c r="I88" s="10">
        <f>IF(OR(F88&lt;&gt;"",G88&lt;&gt;""),ROUND(N(F88)+N(G88),2),"")</f>
        <v/>
      </c>
      <c r="J88" s="10">
        <f>IF(I88="","",IF(D88="Sostituto d'imposta",ROUND(I88*Parametri!$B$2,2),0))</f>
        <v/>
      </c>
      <c r="K88" s="11">
        <f>IF(I88="","",IF(I88&gt;Parametri!$B$4,"Si","No"))</f>
        <v/>
      </c>
      <c r="L88" s="10">
        <f>IF(I88="","",I88-J88+IF(AND(K88="Si",H88="Si"),Parametri!$B$3,0))</f>
        <v/>
      </c>
      <c r="M88" s="7" t="n"/>
      <c r="N88" s="9" t="n"/>
      <c r="O88" s="10">
        <f>IF(L88="","",ROUND(L88-N(N88),2))</f>
        <v/>
      </c>
      <c r="P88" s="8" t="n"/>
      <c r="Q88" s="8" t="n"/>
      <c r="R88" s="11">
        <f>IF(I88="","",IF(M88&lt;&gt;"",YEAR(M88),IF(A88&lt;&gt;"",YEAR(A88),"")))</f>
        <v/>
      </c>
      <c r="S88" s="11">
        <f>IF(I88="","",IF(M88&lt;&gt;"",MONTH(M88),IF(A88&lt;&gt;"",MONTH(A88),"")))</f>
        <v/>
      </c>
    </row>
    <row r="89">
      <c r="A89" s="7" t="n"/>
      <c r="B89" s="8" t="n"/>
      <c r="C89" s="8" t="n"/>
      <c r="D89" s="8" t="n"/>
      <c r="E89" s="8" t="n"/>
      <c r="F89" s="9" t="n"/>
      <c r="G89" s="9" t="n"/>
      <c r="H89" s="8" t="n"/>
      <c r="I89" s="10">
        <f>IF(OR(F89&lt;&gt;"",G89&lt;&gt;""),ROUND(N(F89)+N(G89),2),"")</f>
        <v/>
      </c>
      <c r="J89" s="10">
        <f>IF(I89="","",IF(D89="Sostituto d'imposta",ROUND(I89*Parametri!$B$2,2),0))</f>
        <v/>
      </c>
      <c r="K89" s="11">
        <f>IF(I89="","",IF(I89&gt;Parametri!$B$4,"Si","No"))</f>
        <v/>
      </c>
      <c r="L89" s="10">
        <f>IF(I89="","",I89-J89+IF(AND(K89="Si",H89="Si"),Parametri!$B$3,0))</f>
        <v/>
      </c>
      <c r="M89" s="7" t="n"/>
      <c r="N89" s="9" t="n"/>
      <c r="O89" s="10">
        <f>IF(L89="","",ROUND(L89-N(N89),2))</f>
        <v/>
      </c>
      <c r="P89" s="8" t="n"/>
      <c r="Q89" s="8" t="n"/>
      <c r="R89" s="11">
        <f>IF(I89="","",IF(M89&lt;&gt;"",YEAR(M89),IF(A89&lt;&gt;"",YEAR(A89),"")))</f>
        <v/>
      </c>
      <c r="S89" s="11">
        <f>IF(I89="","",IF(M89&lt;&gt;"",MONTH(M89),IF(A89&lt;&gt;"",MONTH(A89),"")))</f>
        <v/>
      </c>
    </row>
    <row r="90">
      <c r="A90" s="7" t="n"/>
      <c r="B90" s="8" t="n"/>
      <c r="C90" s="8" t="n"/>
      <c r="D90" s="8" t="n"/>
      <c r="E90" s="8" t="n"/>
      <c r="F90" s="9" t="n"/>
      <c r="G90" s="9" t="n"/>
      <c r="H90" s="8" t="n"/>
      <c r="I90" s="10">
        <f>IF(OR(F90&lt;&gt;"",G90&lt;&gt;""),ROUND(N(F90)+N(G90),2),"")</f>
        <v/>
      </c>
      <c r="J90" s="10">
        <f>IF(I90="","",IF(D90="Sostituto d'imposta",ROUND(I90*Parametri!$B$2,2),0))</f>
        <v/>
      </c>
      <c r="K90" s="11">
        <f>IF(I90="","",IF(I90&gt;Parametri!$B$4,"Si","No"))</f>
        <v/>
      </c>
      <c r="L90" s="10">
        <f>IF(I90="","",I90-J90+IF(AND(K90="Si",H90="Si"),Parametri!$B$3,0))</f>
        <v/>
      </c>
      <c r="M90" s="7" t="n"/>
      <c r="N90" s="9" t="n"/>
      <c r="O90" s="10">
        <f>IF(L90="","",ROUND(L90-N(N90),2))</f>
        <v/>
      </c>
      <c r="P90" s="8" t="n"/>
      <c r="Q90" s="8" t="n"/>
      <c r="R90" s="11">
        <f>IF(I90="","",IF(M90&lt;&gt;"",YEAR(M90),IF(A90&lt;&gt;"",YEAR(A90),"")))</f>
        <v/>
      </c>
      <c r="S90" s="11">
        <f>IF(I90="","",IF(M90&lt;&gt;"",MONTH(M90),IF(A90&lt;&gt;"",MONTH(A90),"")))</f>
        <v/>
      </c>
    </row>
    <row r="91">
      <c r="A91" s="7" t="n"/>
      <c r="B91" s="8" t="n"/>
      <c r="C91" s="8" t="n"/>
      <c r="D91" s="8" t="n"/>
      <c r="E91" s="8" t="n"/>
      <c r="F91" s="9" t="n"/>
      <c r="G91" s="9" t="n"/>
      <c r="H91" s="8" t="n"/>
      <c r="I91" s="10">
        <f>IF(OR(F91&lt;&gt;"",G91&lt;&gt;""),ROUND(N(F91)+N(G91),2),"")</f>
        <v/>
      </c>
      <c r="J91" s="10">
        <f>IF(I91="","",IF(D91="Sostituto d'imposta",ROUND(I91*Parametri!$B$2,2),0))</f>
        <v/>
      </c>
      <c r="K91" s="11">
        <f>IF(I91="","",IF(I91&gt;Parametri!$B$4,"Si","No"))</f>
        <v/>
      </c>
      <c r="L91" s="10">
        <f>IF(I91="","",I91-J91+IF(AND(K91="Si",H91="Si"),Parametri!$B$3,0))</f>
        <v/>
      </c>
      <c r="M91" s="7" t="n"/>
      <c r="N91" s="9" t="n"/>
      <c r="O91" s="10">
        <f>IF(L91="","",ROUND(L91-N(N91),2))</f>
        <v/>
      </c>
      <c r="P91" s="8" t="n"/>
      <c r="Q91" s="8" t="n"/>
      <c r="R91" s="11">
        <f>IF(I91="","",IF(M91&lt;&gt;"",YEAR(M91),IF(A91&lt;&gt;"",YEAR(A91),"")))</f>
        <v/>
      </c>
      <c r="S91" s="11">
        <f>IF(I91="","",IF(M91&lt;&gt;"",MONTH(M91),IF(A91&lt;&gt;"",MONTH(A91),"")))</f>
        <v/>
      </c>
    </row>
    <row r="92">
      <c r="A92" s="7" t="n"/>
      <c r="B92" s="8" t="n"/>
      <c r="C92" s="8" t="n"/>
      <c r="D92" s="8" t="n"/>
      <c r="E92" s="8" t="n"/>
      <c r="F92" s="9" t="n"/>
      <c r="G92" s="9" t="n"/>
      <c r="H92" s="8" t="n"/>
      <c r="I92" s="10">
        <f>IF(OR(F92&lt;&gt;"",G92&lt;&gt;""),ROUND(N(F92)+N(G92),2),"")</f>
        <v/>
      </c>
      <c r="J92" s="10">
        <f>IF(I92="","",IF(D92="Sostituto d'imposta",ROUND(I92*Parametri!$B$2,2),0))</f>
        <v/>
      </c>
      <c r="K92" s="11">
        <f>IF(I92="","",IF(I92&gt;Parametri!$B$4,"Si","No"))</f>
        <v/>
      </c>
      <c r="L92" s="10">
        <f>IF(I92="","",I92-J92+IF(AND(K92="Si",H92="Si"),Parametri!$B$3,0))</f>
        <v/>
      </c>
      <c r="M92" s="7" t="n"/>
      <c r="N92" s="9" t="n"/>
      <c r="O92" s="10">
        <f>IF(L92="","",ROUND(L92-N(N92),2))</f>
        <v/>
      </c>
      <c r="P92" s="8" t="n"/>
      <c r="Q92" s="8" t="n"/>
      <c r="R92" s="11">
        <f>IF(I92="","",IF(M92&lt;&gt;"",YEAR(M92),IF(A92&lt;&gt;"",YEAR(A92),"")))</f>
        <v/>
      </c>
      <c r="S92" s="11">
        <f>IF(I92="","",IF(M92&lt;&gt;"",MONTH(M92),IF(A92&lt;&gt;"",MONTH(A92),"")))</f>
        <v/>
      </c>
    </row>
    <row r="93">
      <c r="A93" s="7" t="n"/>
      <c r="B93" s="8" t="n"/>
      <c r="C93" s="8" t="n"/>
      <c r="D93" s="8" t="n"/>
      <c r="E93" s="8" t="n"/>
      <c r="F93" s="9" t="n"/>
      <c r="G93" s="9" t="n"/>
      <c r="H93" s="8" t="n"/>
      <c r="I93" s="10">
        <f>IF(OR(F93&lt;&gt;"",G93&lt;&gt;""),ROUND(N(F93)+N(G93),2),"")</f>
        <v/>
      </c>
      <c r="J93" s="10">
        <f>IF(I93="","",IF(D93="Sostituto d'imposta",ROUND(I93*Parametri!$B$2,2),0))</f>
        <v/>
      </c>
      <c r="K93" s="11">
        <f>IF(I93="","",IF(I93&gt;Parametri!$B$4,"Si","No"))</f>
        <v/>
      </c>
      <c r="L93" s="10">
        <f>IF(I93="","",I93-J93+IF(AND(K93="Si",H93="Si"),Parametri!$B$3,0))</f>
        <v/>
      </c>
      <c r="M93" s="7" t="n"/>
      <c r="N93" s="9" t="n"/>
      <c r="O93" s="10">
        <f>IF(L93="","",ROUND(L93-N(N93),2))</f>
        <v/>
      </c>
      <c r="P93" s="8" t="n"/>
      <c r="Q93" s="8" t="n"/>
      <c r="R93" s="11">
        <f>IF(I93="","",IF(M93&lt;&gt;"",YEAR(M93),IF(A93&lt;&gt;"",YEAR(A93),"")))</f>
        <v/>
      </c>
      <c r="S93" s="11">
        <f>IF(I93="","",IF(M93&lt;&gt;"",MONTH(M93),IF(A93&lt;&gt;"",MONTH(A93),"")))</f>
        <v/>
      </c>
    </row>
    <row r="94">
      <c r="A94" s="7" t="n"/>
      <c r="B94" s="8" t="n"/>
      <c r="C94" s="8" t="n"/>
      <c r="D94" s="8" t="n"/>
      <c r="E94" s="8" t="n"/>
      <c r="F94" s="9" t="n"/>
      <c r="G94" s="9" t="n"/>
      <c r="H94" s="8" t="n"/>
      <c r="I94" s="10">
        <f>IF(OR(F94&lt;&gt;"",G94&lt;&gt;""),ROUND(N(F94)+N(G94),2),"")</f>
        <v/>
      </c>
      <c r="J94" s="10">
        <f>IF(I94="","",IF(D94="Sostituto d'imposta",ROUND(I94*Parametri!$B$2,2),0))</f>
        <v/>
      </c>
      <c r="K94" s="11">
        <f>IF(I94="","",IF(I94&gt;Parametri!$B$4,"Si","No"))</f>
        <v/>
      </c>
      <c r="L94" s="10">
        <f>IF(I94="","",I94-J94+IF(AND(K94="Si",H94="Si"),Parametri!$B$3,0))</f>
        <v/>
      </c>
      <c r="M94" s="7" t="n"/>
      <c r="N94" s="9" t="n"/>
      <c r="O94" s="10">
        <f>IF(L94="","",ROUND(L94-N(N94),2))</f>
        <v/>
      </c>
      <c r="P94" s="8" t="n"/>
      <c r="Q94" s="8" t="n"/>
      <c r="R94" s="11">
        <f>IF(I94="","",IF(M94&lt;&gt;"",YEAR(M94),IF(A94&lt;&gt;"",YEAR(A94),"")))</f>
        <v/>
      </c>
      <c r="S94" s="11">
        <f>IF(I94="","",IF(M94&lt;&gt;"",MONTH(M94),IF(A94&lt;&gt;"",MONTH(A94),"")))</f>
        <v/>
      </c>
    </row>
    <row r="95">
      <c r="A95" s="7" t="n"/>
      <c r="B95" s="8" t="n"/>
      <c r="C95" s="8" t="n"/>
      <c r="D95" s="8" t="n"/>
      <c r="E95" s="8" t="n"/>
      <c r="F95" s="9" t="n"/>
      <c r="G95" s="9" t="n"/>
      <c r="H95" s="8" t="n"/>
      <c r="I95" s="10">
        <f>IF(OR(F95&lt;&gt;"",G95&lt;&gt;""),ROUND(N(F95)+N(G95),2),"")</f>
        <v/>
      </c>
      <c r="J95" s="10">
        <f>IF(I95="","",IF(D95="Sostituto d'imposta",ROUND(I95*Parametri!$B$2,2),0))</f>
        <v/>
      </c>
      <c r="K95" s="11">
        <f>IF(I95="","",IF(I95&gt;Parametri!$B$4,"Si","No"))</f>
        <v/>
      </c>
      <c r="L95" s="10">
        <f>IF(I95="","",I95-J95+IF(AND(K95="Si",H95="Si"),Parametri!$B$3,0))</f>
        <v/>
      </c>
      <c r="M95" s="7" t="n"/>
      <c r="N95" s="9" t="n"/>
      <c r="O95" s="10">
        <f>IF(L95="","",ROUND(L95-N(N95),2))</f>
        <v/>
      </c>
      <c r="P95" s="8" t="n"/>
      <c r="Q95" s="8" t="n"/>
      <c r="R95" s="11">
        <f>IF(I95="","",IF(M95&lt;&gt;"",YEAR(M95),IF(A95&lt;&gt;"",YEAR(A95),"")))</f>
        <v/>
      </c>
      <c r="S95" s="11">
        <f>IF(I95="","",IF(M95&lt;&gt;"",MONTH(M95),IF(A95&lt;&gt;"",MONTH(A95),"")))</f>
        <v/>
      </c>
    </row>
    <row r="96">
      <c r="A96" s="7" t="n"/>
      <c r="B96" s="8" t="n"/>
      <c r="C96" s="8" t="n"/>
      <c r="D96" s="8" t="n"/>
      <c r="E96" s="8" t="n"/>
      <c r="F96" s="9" t="n"/>
      <c r="G96" s="9" t="n"/>
      <c r="H96" s="8" t="n"/>
      <c r="I96" s="10">
        <f>IF(OR(F96&lt;&gt;"",G96&lt;&gt;""),ROUND(N(F96)+N(G96),2),"")</f>
        <v/>
      </c>
      <c r="J96" s="10">
        <f>IF(I96="","",IF(D96="Sostituto d'imposta",ROUND(I96*Parametri!$B$2,2),0))</f>
        <v/>
      </c>
      <c r="K96" s="11">
        <f>IF(I96="","",IF(I96&gt;Parametri!$B$4,"Si","No"))</f>
        <v/>
      </c>
      <c r="L96" s="10">
        <f>IF(I96="","",I96-J96+IF(AND(K96="Si",H96="Si"),Parametri!$B$3,0))</f>
        <v/>
      </c>
      <c r="M96" s="7" t="n"/>
      <c r="N96" s="9" t="n"/>
      <c r="O96" s="10">
        <f>IF(L96="","",ROUND(L96-N(N96),2))</f>
        <v/>
      </c>
      <c r="P96" s="8" t="n"/>
      <c r="Q96" s="8" t="n"/>
      <c r="R96" s="11">
        <f>IF(I96="","",IF(M96&lt;&gt;"",YEAR(M96),IF(A96&lt;&gt;"",YEAR(A96),"")))</f>
        <v/>
      </c>
      <c r="S96" s="11">
        <f>IF(I96="","",IF(M96&lt;&gt;"",MONTH(M96),IF(A96&lt;&gt;"",MONTH(A96),"")))</f>
        <v/>
      </c>
    </row>
    <row r="97">
      <c r="A97" s="7" t="n"/>
      <c r="B97" s="8" t="n"/>
      <c r="C97" s="8" t="n"/>
      <c r="D97" s="8" t="n"/>
      <c r="E97" s="8" t="n"/>
      <c r="F97" s="9" t="n"/>
      <c r="G97" s="9" t="n"/>
      <c r="H97" s="8" t="n"/>
      <c r="I97" s="10">
        <f>IF(OR(F97&lt;&gt;"",G97&lt;&gt;""),ROUND(N(F97)+N(G97),2),"")</f>
        <v/>
      </c>
      <c r="J97" s="10">
        <f>IF(I97="","",IF(D97="Sostituto d'imposta",ROUND(I97*Parametri!$B$2,2),0))</f>
        <v/>
      </c>
      <c r="K97" s="11">
        <f>IF(I97="","",IF(I97&gt;Parametri!$B$4,"Si","No"))</f>
        <v/>
      </c>
      <c r="L97" s="10">
        <f>IF(I97="","",I97-J97+IF(AND(K97="Si",H97="Si"),Parametri!$B$3,0))</f>
        <v/>
      </c>
      <c r="M97" s="7" t="n"/>
      <c r="N97" s="9" t="n"/>
      <c r="O97" s="10">
        <f>IF(L97="","",ROUND(L97-N(N97),2))</f>
        <v/>
      </c>
      <c r="P97" s="8" t="n"/>
      <c r="Q97" s="8" t="n"/>
      <c r="R97" s="11">
        <f>IF(I97="","",IF(M97&lt;&gt;"",YEAR(M97),IF(A97&lt;&gt;"",YEAR(A97),"")))</f>
        <v/>
      </c>
      <c r="S97" s="11">
        <f>IF(I97="","",IF(M97&lt;&gt;"",MONTH(M97),IF(A97&lt;&gt;"",MONTH(A97),"")))</f>
        <v/>
      </c>
    </row>
    <row r="98">
      <c r="A98" s="7" t="n"/>
      <c r="B98" s="8" t="n"/>
      <c r="C98" s="8" t="n"/>
      <c r="D98" s="8" t="n"/>
      <c r="E98" s="8" t="n"/>
      <c r="F98" s="9" t="n"/>
      <c r="G98" s="9" t="n"/>
      <c r="H98" s="8" t="n"/>
      <c r="I98" s="10">
        <f>IF(OR(F98&lt;&gt;"",G98&lt;&gt;""),ROUND(N(F98)+N(G98),2),"")</f>
        <v/>
      </c>
      <c r="J98" s="10">
        <f>IF(I98="","",IF(D98="Sostituto d'imposta",ROUND(I98*Parametri!$B$2,2),0))</f>
        <v/>
      </c>
      <c r="K98" s="11">
        <f>IF(I98="","",IF(I98&gt;Parametri!$B$4,"Si","No"))</f>
        <v/>
      </c>
      <c r="L98" s="10">
        <f>IF(I98="","",I98-J98+IF(AND(K98="Si",H98="Si"),Parametri!$B$3,0))</f>
        <v/>
      </c>
      <c r="M98" s="7" t="n"/>
      <c r="N98" s="9" t="n"/>
      <c r="O98" s="10">
        <f>IF(L98="","",ROUND(L98-N(N98),2))</f>
        <v/>
      </c>
      <c r="P98" s="8" t="n"/>
      <c r="Q98" s="8" t="n"/>
      <c r="R98" s="11">
        <f>IF(I98="","",IF(M98&lt;&gt;"",YEAR(M98),IF(A98&lt;&gt;"",YEAR(A98),"")))</f>
        <v/>
      </c>
      <c r="S98" s="11">
        <f>IF(I98="","",IF(M98&lt;&gt;"",MONTH(M98),IF(A98&lt;&gt;"",MONTH(A98),"")))</f>
        <v/>
      </c>
    </row>
    <row r="99">
      <c r="A99" s="7" t="n"/>
      <c r="B99" s="8" t="n"/>
      <c r="C99" s="8" t="n"/>
      <c r="D99" s="8" t="n"/>
      <c r="E99" s="8" t="n"/>
      <c r="F99" s="9" t="n"/>
      <c r="G99" s="9" t="n"/>
      <c r="H99" s="8" t="n"/>
      <c r="I99" s="10">
        <f>IF(OR(F99&lt;&gt;"",G99&lt;&gt;""),ROUND(N(F99)+N(G99),2),"")</f>
        <v/>
      </c>
      <c r="J99" s="10">
        <f>IF(I99="","",IF(D99="Sostituto d'imposta",ROUND(I99*Parametri!$B$2,2),0))</f>
        <v/>
      </c>
      <c r="K99" s="11">
        <f>IF(I99="","",IF(I99&gt;Parametri!$B$4,"Si","No"))</f>
        <v/>
      </c>
      <c r="L99" s="10">
        <f>IF(I99="","",I99-J99+IF(AND(K99="Si",H99="Si"),Parametri!$B$3,0))</f>
        <v/>
      </c>
      <c r="M99" s="7" t="n"/>
      <c r="N99" s="9" t="n"/>
      <c r="O99" s="10">
        <f>IF(L99="","",ROUND(L99-N(N99),2))</f>
        <v/>
      </c>
      <c r="P99" s="8" t="n"/>
      <c r="Q99" s="8" t="n"/>
      <c r="R99" s="11">
        <f>IF(I99="","",IF(M99&lt;&gt;"",YEAR(M99),IF(A99&lt;&gt;"",YEAR(A99),"")))</f>
        <v/>
      </c>
      <c r="S99" s="11">
        <f>IF(I99="","",IF(M99&lt;&gt;"",MONTH(M99),IF(A99&lt;&gt;"",MONTH(A99),"")))</f>
        <v/>
      </c>
    </row>
    <row r="100">
      <c r="A100" s="7" t="n"/>
      <c r="B100" s="8" t="n"/>
      <c r="C100" s="8" t="n"/>
      <c r="D100" s="8" t="n"/>
      <c r="E100" s="8" t="n"/>
      <c r="F100" s="9" t="n"/>
      <c r="G100" s="9" t="n"/>
      <c r="H100" s="8" t="n"/>
      <c r="I100" s="10">
        <f>IF(OR(F100&lt;&gt;"",G100&lt;&gt;""),ROUND(N(F100)+N(G100),2),"")</f>
        <v/>
      </c>
      <c r="J100" s="10">
        <f>IF(I100="","",IF(D100="Sostituto d'imposta",ROUND(I100*Parametri!$B$2,2),0))</f>
        <v/>
      </c>
      <c r="K100" s="11">
        <f>IF(I100="","",IF(I100&gt;Parametri!$B$4,"Si","No"))</f>
        <v/>
      </c>
      <c r="L100" s="10">
        <f>IF(I100="","",I100-J100+IF(AND(K100="Si",H100="Si"),Parametri!$B$3,0))</f>
        <v/>
      </c>
      <c r="M100" s="7" t="n"/>
      <c r="N100" s="9" t="n"/>
      <c r="O100" s="10">
        <f>IF(L100="","",ROUND(L100-N(N100),2))</f>
        <v/>
      </c>
      <c r="P100" s="8" t="n"/>
      <c r="Q100" s="8" t="n"/>
      <c r="R100" s="11">
        <f>IF(I100="","",IF(M100&lt;&gt;"",YEAR(M100),IF(A100&lt;&gt;"",YEAR(A100),"")))</f>
        <v/>
      </c>
      <c r="S100" s="11">
        <f>IF(I100="","",IF(M100&lt;&gt;"",MONTH(M100),IF(A100&lt;&gt;"",MONTH(A100),"")))</f>
        <v/>
      </c>
    </row>
    <row r="101">
      <c r="A101" s="7" t="n"/>
      <c r="B101" s="8" t="n"/>
      <c r="C101" s="8" t="n"/>
      <c r="D101" s="8" t="n"/>
      <c r="E101" s="8" t="n"/>
      <c r="F101" s="9" t="n"/>
      <c r="G101" s="9" t="n"/>
      <c r="H101" s="8" t="n"/>
      <c r="I101" s="10">
        <f>IF(OR(F101&lt;&gt;"",G101&lt;&gt;""),ROUND(N(F101)+N(G101),2),"")</f>
        <v/>
      </c>
      <c r="J101" s="10">
        <f>IF(I101="","",IF(D101="Sostituto d'imposta",ROUND(I101*Parametri!$B$2,2),0))</f>
        <v/>
      </c>
      <c r="K101" s="11">
        <f>IF(I101="","",IF(I101&gt;Parametri!$B$4,"Si","No"))</f>
        <v/>
      </c>
      <c r="L101" s="10">
        <f>IF(I101="","",I101-J101+IF(AND(K101="Si",H101="Si"),Parametri!$B$3,0))</f>
        <v/>
      </c>
      <c r="M101" s="7" t="n"/>
      <c r="N101" s="9" t="n"/>
      <c r="O101" s="10">
        <f>IF(L101="","",ROUND(L101-N(N101),2))</f>
        <v/>
      </c>
      <c r="P101" s="8" t="n"/>
      <c r="Q101" s="8" t="n"/>
      <c r="R101" s="11">
        <f>IF(I101="","",IF(M101&lt;&gt;"",YEAR(M101),IF(A101&lt;&gt;"",YEAR(A101),"")))</f>
        <v/>
      </c>
      <c r="S101" s="11">
        <f>IF(I101="","",IF(M101&lt;&gt;"",MONTH(M101),IF(A101&lt;&gt;"",MONTH(A101),"")))</f>
        <v/>
      </c>
    </row>
    <row r="102">
      <c r="A102" s="7" t="n"/>
      <c r="B102" s="8" t="n"/>
      <c r="C102" s="8" t="n"/>
      <c r="D102" s="8" t="n"/>
      <c r="E102" s="8" t="n"/>
      <c r="F102" s="9" t="n"/>
      <c r="G102" s="9" t="n"/>
      <c r="H102" s="8" t="n"/>
      <c r="I102" s="10">
        <f>IF(OR(F102&lt;&gt;"",G102&lt;&gt;""),ROUND(N(F102)+N(G102),2),"")</f>
        <v/>
      </c>
      <c r="J102" s="10">
        <f>IF(I102="","",IF(D102="Sostituto d'imposta",ROUND(I102*Parametri!$B$2,2),0))</f>
        <v/>
      </c>
      <c r="K102" s="11">
        <f>IF(I102="","",IF(I102&gt;Parametri!$B$4,"Si","No"))</f>
        <v/>
      </c>
      <c r="L102" s="10">
        <f>IF(I102="","",I102-J102+IF(AND(K102="Si",H102="Si"),Parametri!$B$3,0))</f>
        <v/>
      </c>
      <c r="M102" s="7" t="n"/>
      <c r="N102" s="9" t="n"/>
      <c r="O102" s="10">
        <f>IF(L102="","",ROUND(L102-N(N102),2))</f>
        <v/>
      </c>
      <c r="P102" s="8" t="n"/>
      <c r="Q102" s="8" t="n"/>
      <c r="R102" s="11">
        <f>IF(I102="","",IF(M102&lt;&gt;"",YEAR(M102),IF(A102&lt;&gt;"",YEAR(A102),"")))</f>
        <v/>
      </c>
      <c r="S102" s="11">
        <f>IF(I102="","",IF(M102&lt;&gt;"",MONTH(M102),IF(A102&lt;&gt;"",MONTH(A102),"")))</f>
        <v/>
      </c>
    </row>
    <row r="103">
      <c r="A103" s="7" t="n"/>
      <c r="B103" s="8" t="n"/>
      <c r="C103" s="8" t="n"/>
      <c r="D103" s="8" t="n"/>
      <c r="E103" s="8" t="n"/>
      <c r="F103" s="9" t="n"/>
      <c r="G103" s="9" t="n"/>
      <c r="H103" s="8" t="n"/>
      <c r="I103" s="10">
        <f>IF(OR(F103&lt;&gt;"",G103&lt;&gt;""),ROUND(N(F103)+N(G103),2),"")</f>
        <v/>
      </c>
      <c r="J103" s="10">
        <f>IF(I103="","",IF(D103="Sostituto d'imposta",ROUND(I103*Parametri!$B$2,2),0))</f>
        <v/>
      </c>
      <c r="K103" s="11">
        <f>IF(I103="","",IF(I103&gt;Parametri!$B$4,"Si","No"))</f>
        <v/>
      </c>
      <c r="L103" s="10">
        <f>IF(I103="","",I103-J103+IF(AND(K103="Si",H103="Si"),Parametri!$B$3,0))</f>
        <v/>
      </c>
      <c r="M103" s="7" t="n"/>
      <c r="N103" s="9" t="n"/>
      <c r="O103" s="10">
        <f>IF(L103="","",ROUND(L103-N(N103),2))</f>
        <v/>
      </c>
      <c r="P103" s="8" t="n"/>
      <c r="Q103" s="8" t="n"/>
      <c r="R103" s="11">
        <f>IF(I103="","",IF(M103&lt;&gt;"",YEAR(M103),IF(A103&lt;&gt;"",YEAR(A103),"")))</f>
        <v/>
      </c>
      <c r="S103" s="11">
        <f>IF(I103="","",IF(M103&lt;&gt;"",MONTH(M103),IF(A103&lt;&gt;"",MONTH(A103),"")))</f>
        <v/>
      </c>
    </row>
    <row r="104">
      <c r="A104" s="7" t="n"/>
      <c r="B104" s="8" t="n"/>
      <c r="C104" s="8" t="n"/>
      <c r="D104" s="8" t="n"/>
      <c r="E104" s="8" t="n"/>
      <c r="F104" s="9" t="n"/>
      <c r="G104" s="9" t="n"/>
      <c r="H104" s="8" t="n"/>
      <c r="I104" s="10">
        <f>IF(OR(F104&lt;&gt;"",G104&lt;&gt;""),ROUND(N(F104)+N(G104),2),"")</f>
        <v/>
      </c>
      <c r="J104" s="10">
        <f>IF(I104="","",IF(D104="Sostituto d'imposta",ROUND(I104*Parametri!$B$2,2),0))</f>
        <v/>
      </c>
      <c r="K104" s="11">
        <f>IF(I104="","",IF(I104&gt;Parametri!$B$4,"Si","No"))</f>
        <v/>
      </c>
      <c r="L104" s="10">
        <f>IF(I104="","",I104-J104+IF(AND(K104="Si",H104="Si"),Parametri!$B$3,0))</f>
        <v/>
      </c>
      <c r="M104" s="7" t="n"/>
      <c r="N104" s="9" t="n"/>
      <c r="O104" s="10">
        <f>IF(L104="","",ROUND(L104-N(N104),2))</f>
        <v/>
      </c>
      <c r="P104" s="8" t="n"/>
      <c r="Q104" s="8" t="n"/>
      <c r="R104" s="11">
        <f>IF(I104="","",IF(M104&lt;&gt;"",YEAR(M104),IF(A104&lt;&gt;"",YEAR(A104),"")))</f>
        <v/>
      </c>
      <c r="S104" s="11">
        <f>IF(I104="","",IF(M104&lt;&gt;"",MONTH(M104),IF(A104&lt;&gt;"",MONTH(A104),"")))</f>
        <v/>
      </c>
    </row>
    <row r="105">
      <c r="A105" s="7" t="n"/>
      <c r="B105" s="8" t="n"/>
      <c r="C105" s="8" t="n"/>
      <c r="D105" s="8" t="n"/>
      <c r="E105" s="8" t="n"/>
      <c r="F105" s="9" t="n"/>
      <c r="G105" s="9" t="n"/>
      <c r="H105" s="8" t="n"/>
      <c r="I105" s="10">
        <f>IF(OR(F105&lt;&gt;"",G105&lt;&gt;""),ROUND(N(F105)+N(G105),2),"")</f>
        <v/>
      </c>
      <c r="J105" s="10">
        <f>IF(I105="","",IF(D105="Sostituto d'imposta",ROUND(I105*Parametri!$B$2,2),0))</f>
        <v/>
      </c>
      <c r="K105" s="11">
        <f>IF(I105="","",IF(I105&gt;Parametri!$B$4,"Si","No"))</f>
        <v/>
      </c>
      <c r="L105" s="10">
        <f>IF(I105="","",I105-J105+IF(AND(K105="Si",H105="Si"),Parametri!$B$3,0))</f>
        <v/>
      </c>
      <c r="M105" s="7" t="n"/>
      <c r="N105" s="9" t="n"/>
      <c r="O105" s="10">
        <f>IF(L105="","",ROUND(L105-N(N105),2))</f>
        <v/>
      </c>
      <c r="P105" s="8" t="n"/>
      <c r="Q105" s="8" t="n"/>
      <c r="R105" s="11">
        <f>IF(I105="","",IF(M105&lt;&gt;"",YEAR(M105),IF(A105&lt;&gt;"",YEAR(A105),"")))</f>
        <v/>
      </c>
      <c r="S105" s="11">
        <f>IF(I105="","",IF(M105&lt;&gt;"",MONTH(M105),IF(A105&lt;&gt;"",MONTH(A105),"")))</f>
        <v/>
      </c>
    </row>
    <row r="106">
      <c r="A106" s="7" t="n"/>
      <c r="B106" s="8" t="n"/>
      <c r="C106" s="8" t="n"/>
      <c r="D106" s="8" t="n"/>
      <c r="E106" s="8" t="n"/>
      <c r="F106" s="9" t="n"/>
      <c r="G106" s="9" t="n"/>
      <c r="H106" s="8" t="n"/>
      <c r="I106" s="10">
        <f>IF(OR(F106&lt;&gt;"",G106&lt;&gt;""),ROUND(N(F106)+N(G106),2),"")</f>
        <v/>
      </c>
      <c r="J106" s="10">
        <f>IF(I106="","",IF(D106="Sostituto d'imposta",ROUND(I106*Parametri!$B$2,2),0))</f>
        <v/>
      </c>
      <c r="K106" s="11">
        <f>IF(I106="","",IF(I106&gt;Parametri!$B$4,"Si","No"))</f>
        <v/>
      </c>
      <c r="L106" s="10">
        <f>IF(I106="","",I106-J106+IF(AND(K106="Si",H106="Si"),Parametri!$B$3,0))</f>
        <v/>
      </c>
      <c r="M106" s="7" t="n"/>
      <c r="N106" s="9" t="n"/>
      <c r="O106" s="10">
        <f>IF(L106="","",ROUND(L106-N(N106),2))</f>
        <v/>
      </c>
      <c r="P106" s="8" t="n"/>
      <c r="Q106" s="8" t="n"/>
      <c r="R106" s="11">
        <f>IF(I106="","",IF(M106&lt;&gt;"",YEAR(M106),IF(A106&lt;&gt;"",YEAR(A106),"")))</f>
        <v/>
      </c>
      <c r="S106" s="11">
        <f>IF(I106="","",IF(M106&lt;&gt;"",MONTH(M106),IF(A106&lt;&gt;"",MONTH(A106),"")))</f>
        <v/>
      </c>
    </row>
    <row r="107">
      <c r="A107" s="7" t="n"/>
      <c r="B107" s="8" t="n"/>
      <c r="C107" s="8" t="n"/>
      <c r="D107" s="8" t="n"/>
      <c r="E107" s="8" t="n"/>
      <c r="F107" s="9" t="n"/>
      <c r="G107" s="9" t="n"/>
      <c r="H107" s="8" t="n"/>
      <c r="I107" s="10">
        <f>IF(OR(F107&lt;&gt;"",G107&lt;&gt;""),ROUND(N(F107)+N(G107),2),"")</f>
        <v/>
      </c>
      <c r="J107" s="10">
        <f>IF(I107="","",IF(D107="Sostituto d'imposta",ROUND(I107*Parametri!$B$2,2),0))</f>
        <v/>
      </c>
      <c r="K107" s="11">
        <f>IF(I107="","",IF(I107&gt;Parametri!$B$4,"Si","No"))</f>
        <v/>
      </c>
      <c r="L107" s="10">
        <f>IF(I107="","",I107-J107+IF(AND(K107="Si",H107="Si"),Parametri!$B$3,0))</f>
        <v/>
      </c>
      <c r="M107" s="7" t="n"/>
      <c r="N107" s="9" t="n"/>
      <c r="O107" s="10">
        <f>IF(L107="","",ROUND(L107-N(N107),2))</f>
        <v/>
      </c>
      <c r="P107" s="8" t="n"/>
      <c r="Q107" s="8" t="n"/>
      <c r="R107" s="11">
        <f>IF(I107="","",IF(M107&lt;&gt;"",YEAR(M107),IF(A107&lt;&gt;"",YEAR(A107),"")))</f>
        <v/>
      </c>
      <c r="S107" s="11">
        <f>IF(I107="","",IF(M107&lt;&gt;"",MONTH(M107),IF(A107&lt;&gt;"",MONTH(A107),"")))</f>
        <v/>
      </c>
    </row>
    <row r="108">
      <c r="A108" s="7" t="n"/>
      <c r="B108" s="8" t="n"/>
      <c r="C108" s="8" t="n"/>
      <c r="D108" s="8" t="n"/>
      <c r="E108" s="8" t="n"/>
      <c r="F108" s="9" t="n"/>
      <c r="G108" s="9" t="n"/>
      <c r="H108" s="8" t="n"/>
      <c r="I108" s="10">
        <f>IF(OR(F108&lt;&gt;"",G108&lt;&gt;""),ROUND(N(F108)+N(G108),2),"")</f>
        <v/>
      </c>
      <c r="J108" s="10">
        <f>IF(I108="","",IF(D108="Sostituto d'imposta",ROUND(I108*Parametri!$B$2,2),0))</f>
        <v/>
      </c>
      <c r="K108" s="11">
        <f>IF(I108="","",IF(I108&gt;Parametri!$B$4,"Si","No"))</f>
        <v/>
      </c>
      <c r="L108" s="10">
        <f>IF(I108="","",I108-J108+IF(AND(K108="Si",H108="Si"),Parametri!$B$3,0))</f>
        <v/>
      </c>
      <c r="M108" s="7" t="n"/>
      <c r="N108" s="9" t="n"/>
      <c r="O108" s="10">
        <f>IF(L108="","",ROUND(L108-N(N108),2))</f>
        <v/>
      </c>
      <c r="P108" s="8" t="n"/>
      <c r="Q108" s="8" t="n"/>
      <c r="R108" s="11">
        <f>IF(I108="","",IF(M108&lt;&gt;"",YEAR(M108),IF(A108&lt;&gt;"",YEAR(A108),"")))</f>
        <v/>
      </c>
      <c r="S108" s="11">
        <f>IF(I108="","",IF(M108&lt;&gt;"",MONTH(M108),IF(A108&lt;&gt;"",MONTH(A108),"")))</f>
        <v/>
      </c>
    </row>
    <row r="109">
      <c r="A109" s="7" t="n"/>
      <c r="B109" s="8" t="n"/>
      <c r="C109" s="8" t="n"/>
      <c r="D109" s="8" t="n"/>
      <c r="E109" s="8" t="n"/>
      <c r="F109" s="9" t="n"/>
      <c r="G109" s="9" t="n"/>
      <c r="H109" s="8" t="n"/>
      <c r="I109" s="10">
        <f>IF(OR(F109&lt;&gt;"",G109&lt;&gt;""),ROUND(N(F109)+N(G109),2),"")</f>
        <v/>
      </c>
      <c r="J109" s="10">
        <f>IF(I109="","",IF(D109="Sostituto d'imposta",ROUND(I109*Parametri!$B$2,2),0))</f>
        <v/>
      </c>
      <c r="K109" s="11">
        <f>IF(I109="","",IF(I109&gt;Parametri!$B$4,"Si","No"))</f>
        <v/>
      </c>
      <c r="L109" s="10">
        <f>IF(I109="","",I109-J109+IF(AND(K109="Si",H109="Si"),Parametri!$B$3,0))</f>
        <v/>
      </c>
      <c r="M109" s="7" t="n"/>
      <c r="N109" s="9" t="n"/>
      <c r="O109" s="10">
        <f>IF(L109="","",ROUND(L109-N(N109),2))</f>
        <v/>
      </c>
      <c r="P109" s="8" t="n"/>
      <c r="Q109" s="8" t="n"/>
      <c r="R109" s="11">
        <f>IF(I109="","",IF(M109&lt;&gt;"",YEAR(M109),IF(A109&lt;&gt;"",YEAR(A109),"")))</f>
        <v/>
      </c>
      <c r="S109" s="11">
        <f>IF(I109="","",IF(M109&lt;&gt;"",MONTH(M109),IF(A109&lt;&gt;"",MONTH(A109),"")))</f>
        <v/>
      </c>
    </row>
    <row r="110">
      <c r="A110" s="7" t="n"/>
      <c r="B110" s="8" t="n"/>
      <c r="C110" s="8" t="n"/>
      <c r="D110" s="8" t="n"/>
      <c r="E110" s="8" t="n"/>
      <c r="F110" s="9" t="n"/>
      <c r="G110" s="9" t="n"/>
      <c r="H110" s="8" t="n"/>
      <c r="I110" s="10">
        <f>IF(OR(F110&lt;&gt;"",G110&lt;&gt;""),ROUND(N(F110)+N(G110),2),"")</f>
        <v/>
      </c>
      <c r="J110" s="10">
        <f>IF(I110="","",IF(D110="Sostituto d'imposta",ROUND(I110*Parametri!$B$2,2),0))</f>
        <v/>
      </c>
      <c r="K110" s="11">
        <f>IF(I110="","",IF(I110&gt;Parametri!$B$4,"Si","No"))</f>
        <v/>
      </c>
      <c r="L110" s="10">
        <f>IF(I110="","",I110-J110+IF(AND(K110="Si",H110="Si"),Parametri!$B$3,0))</f>
        <v/>
      </c>
      <c r="M110" s="7" t="n"/>
      <c r="N110" s="9" t="n"/>
      <c r="O110" s="10">
        <f>IF(L110="","",ROUND(L110-N(N110),2))</f>
        <v/>
      </c>
      <c r="P110" s="8" t="n"/>
      <c r="Q110" s="8" t="n"/>
      <c r="R110" s="11">
        <f>IF(I110="","",IF(M110&lt;&gt;"",YEAR(M110),IF(A110&lt;&gt;"",YEAR(A110),"")))</f>
        <v/>
      </c>
      <c r="S110" s="11">
        <f>IF(I110="","",IF(M110&lt;&gt;"",MONTH(M110),IF(A110&lt;&gt;"",MONTH(A110),"")))</f>
        <v/>
      </c>
    </row>
    <row r="111">
      <c r="A111" s="7" t="n"/>
      <c r="B111" s="8" t="n"/>
      <c r="C111" s="8" t="n"/>
      <c r="D111" s="8" t="n"/>
      <c r="E111" s="8" t="n"/>
      <c r="F111" s="9" t="n"/>
      <c r="G111" s="9" t="n"/>
      <c r="H111" s="8" t="n"/>
      <c r="I111" s="10">
        <f>IF(OR(F111&lt;&gt;"",G111&lt;&gt;""),ROUND(N(F111)+N(G111),2),"")</f>
        <v/>
      </c>
      <c r="J111" s="10">
        <f>IF(I111="","",IF(D111="Sostituto d'imposta",ROUND(I111*Parametri!$B$2,2),0))</f>
        <v/>
      </c>
      <c r="K111" s="11">
        <f>IF(I111="","",IF(I111&gt;Parametri!$B$4,"Si","No"))</f>
        <v/>
      </c>
      <c r="L111" s="10">
        <f>IF(I111="","",I111-J111+IF(AND(K111="Si",H111="Si"),Parametri!$B$3,0))</f>
        <v/>
      </c>
      <c r="M111" s="7" t="n"/>
      <c r="N111" s="9" t="n"/>
      <c r="O111" s="10">
        <f>IF(L111="","",ROUND(L111-N(N111),2))</f>
        <v/>
      </c>
      <c r="P111" s="8" t="n"/>
      <c r="Q111" s="8" t="n"/>
      <c r="R111" s="11">
        <f>IF(I111="","",IF(M111&lt;&gt;"",YEAR(M111),IF(A111&lt;&gt;"",YEAR(A111),"")))</f>
        <v/>
      </c>
      <c r="S111" s="11">
        <f>IF(I111="","",IF(M111&lt;&gt;"",MONTH(M111),IF(A111&lt;&gt;"",MONTH(A111),"")))</f>
        <v/>
      </c>
    </row>
    <row r="112">
      <c r="A112" s="7" t="n"/>
      <c r="B112" s="8" t="n"/>
      <c r="C112" s="8" t="n"/>
      <c r="D112" s="8" t="n"/>
      <c r="E112" s="8" t="n"/>
      <c r="F112" s="9" t="n"/>
      <c r="G112" s="9" t="n"/>
      <c r="H112" s="8" t="n"/>
      <c r="I112" s="10">
        <f>IF(OR(F112&lt;&gt;"",G112&lt;&gt;""),ROUND(N(F112)+N(G112),2),"")</f>
        <v/>
      </c>
      <c r="J112" s="10">
        <f>IF(I112="","",IF(D112="Sostituto d'imposta",ROUND(I112*Parametri!$B$2,2),0))</f>
        <v/>
      </c>
      <c r="K112" s="11">
        <f>IF(I112="","",IF(I112&gt;Parametri!$B$4,"Si","No"))</f>
        <v/>
      </c>
      <c r="L112" s="10">
        <f>IF(I112="","",I112-J112+IF(AND(K112="Si",H112="Si"),Parametri!$B$3,0))</f>
        <v/>
      </c>
      <c r="M112" s="7" t="n"/>
      <c r="N112" s="9" t="n"/>
      <c r="O112" s="10">
        <f>IF(L112="","",ROUND(L112-N(N112),2))</f>
        <v/>
      </c>
      <c r="P112" s="8" t="n"/>
      <c r="Q112" s="8" t="n"/>
      <c r="R112" s="11">
        <f>IF(I112="","",IF(M112&lt;&gt;"",YEAR(M112),IF(A112&lt;&gt;"",YEAR(A112),"")))</f>
        <v/>
      </c>
      <c r="S112" s="11">
        <f>IF(I112="","",IF(M112&lt;&gt;"",MONTH(M112),IF(A112&lt;&gt;"",MONTH(A112),"")))</f>
        <v/>
      </c>
    </row>
    <row r="113">
      <c r="A113" s="7" t="n"/>
      <c r="B113" s="8" t="n"/>
      <c r="C113" s="8" t="n"/>
      <c r="D113" s="8" t="n"/>
      <c r="E113" s="8" t="n"/>
      <c r="F113" s="9" t="n"/>
      <c r="G113" s="9" t="n"/>
      <c r="H113" s="8" t="n"/>
      <c r="I113" s="10">
        <f>IF(OR(F113&lt;&gt;"",G113&lt;&gt;""),ROUND(N(F113)+N(G113),2),"")</f>
        <v/>
      </c>
      <c r="J113" s="10">
        <f>IF(I113="","",IF(D113="Sostituto d'imposta",ROUND(I113*Parametri!$B$2,2),0))</f>
        <v/>
      </c>
      <c r="K113" s="11">
        <f>IF(I113="","",IF(I113&gt;Parametri!$B$4,"Si","No"))</f>
        <v/>
      </c>
      <c r="L113" s="10">
        <f>IF(I113="","",I113-J113+IF(AND(K113="Si",H113="Si"),Parametri!$B$3,0))</f>
        <v/>
      </c>
      <c r="M113" s="7" t="n"/>
      <c r="N113" s="9" t="n"/>
      <c r="O113" s="10">
        <f>IF(L113="","",ROUND(L113-N(N113),2))</f>
        <v/>
      </c>
      <c r="P113" s="8" t="n"/>
      <c r="Q113" s="8" t="n"/>
      <c r="R113" s="11">
        <f>IF(I113="","",IF(M113&lt;&gt;"",YEAR(M113),IF(A113&lt;&gt;"",YEAR(A113),"")))</f>
        <v/>
      </c>
      <c r="S113" s="11">
        <f>IF(I113="","",IF(M113&lt;&gt;"",MONTH(M113),IF(A113&lt;&gt;"",MONTH(A113),"")))</f>
        <v/>
      </c>
    </row>
    <row r="114">
      <c r="A114" s="7" t="n"/>
      <c r="B114" s="8" t="n"/>
      <c r="C114" s="8" t="n"/>
      <c r="D114" s="8" t="n"/>
      <c r="E114" s="8" t="n"/>
      <c r="F114" s="9" t="n"/>
      <c r="G114" s="9" t="n"/>
      <c r="H114" s="8" t="n"/>
      <c r="I114" s="10">
        <f>IF(OR(F114&lt;&gt;"",G114&lt;&gt;""),ROUND(N(F114)+N(G114),2),"")</f>
        <v/>
      </c>
      <c r="J114" s="10">
        <f>IF(I114="","",IF(D114="Sostituto d'imposta",ROUND(I114*Parametri!$B$2,2),0))</f>
        <v/>
      </c>
      <c r="K114" s="11">
        <f>IF(I114="","",IF(I114&gt;Parametri!$B$4,"Si","No"))</f>
        <v/>
      </c>
      <c r="L114" s="10">
        <f>IF(I114="","",I114-J114+IF(AND(K114="Si",H114="Si"),Parametri!$B$3,0))</f>
        <v/>
      </c>
      <c r="M114" s="7" t="n"/>
      <c r="N114" s="9" t="n"/>
      <c r="O114" s="10">
        <f>IF(L114="","",ROUND(L114-N(N114),2))</f>
        <v/>
      </c>
      <c r="P114" s="8" t="n"/>
      <c r="Q114" s="8" t="n"/>
      <c r="R114" s="11">
        <f>IF(I114="","",IF(M114&lt;&gt;"",YEAR(M114),IF(A114&lt;&gt;"",YEAR(A114),"")))</f>
        <v/>
      </c>
      <c r="S114" s="11">
        <f>IF(I114="","",IF(M114&lt;&gt;"",MONTH(M114),IF(A114&lt;&gt;"",MONTH(A114),"")))</f>
        <v/>
      </c>
    </row>
    <row r="115">
      <c r="A115" s="7" t="n"/>
      <c r="B115" s="8" t="n"/>
      <c r="C115" s="8" t="n"/>
      <c r="D115" s="8" t="n"/>
      <c r="E115" s="8" t="n"/>
      <c r="F115" s="9" t="n"/>
      <c r="G115" s="9" t="n"/>
      <c r="H115" s="8" t="n"/>
      <c r="I115" s="10">
        <f>IF(OR(F115&lt;&gt;"",G115&lt;&gt;""),ROUND(N(F115)+N(G115),2),"")</f>
        <v/>
      </c>
      <c r="J115" s="10">
        <f>IF(I115="","",IF(D115="Sostituto d'imposta",ROUND(I115*Parametri!$B$2,2),0))</f>
        <v/>
      </c>
      <c r="K115" s="11">
        <f>IF(I115="","",IF(I115&gt;Parametri!$B$4,"Si","No"))</f>
        <v/>
      </c>
      <c r="L115" s="10">
        <f>IF(I115="","",I115-J115+IF(AND(K115="Si",H115="Si"),Parametri!$B$3,0))</f>
        <v/>
      </c>
      <c r="M115" s="7" t="n"/>
      <c r="N115" s="9" t="n"/>
      <c r="O115" s="10">
        <f>IF(L115="","",ROUND(L115-N(N115),2))</f>
        <v/>
      </c>
      <c r="P115" s="8" t="n"/>
      <c r="Q115" s="8" t="n"/>
      <c r="R115" s="11">
        <f>IF(I115="","",IF(M115&lt;&gt;"",YEAR(M115),IF(A115&lt;&gt;"",YEAR(A115),"")))</f>
        <v/>
      </c>
      <c r="S115" s="11">
        <f>IF(I115="","",IF(M115&lt;&gt;"",MONTH(M115),IF(A115&lt;&gt;"",MONTH(A115),"")))</f>
        <v/>
      </c>
    </row>
    <row r="116">
      <c r="A116" s="7" t="n"/>
      <c r="B116" s="8" t="n"/>
      <c r="C116" s="8" t="n"/>
      <c r="D116" s="8" t="n"/>
      <c r="E116" s="8" t="n"/>
      <c r="F116" s="9" t="n"/>
      <c r="G116" s="9" t="n"/>
      <c r="H116" s="8" t="n"/>
      <c r="I116" s="10">
        <f>IF(OR(F116&lt;&gt;"",G116&lt;&gt;""),ROUND(N(F116)+N(G116),2),"")</f>
        <v/>
      </c>
      <c r="J116" s="10">
        <f>IF(I116="","",IF(D116="Sostituto d'imposta",ROUND(I116*Parametri!$B$2,2),0))</f>
        <v/>
      </c>
      <c r="K116" s="11">
        <f>IF(I116="","",IF(I116&gt;Parametri!$B$4,"Si","No"))</f>
        <v/>
      </c>
      <c r="L116" s="10">
        <f>IF(I116="","",I116-J116+IF(AND(K116="Si",H116="Si"),Parametri!$B$3,0))</f>
        <v/>
      </c>
      <c r="M116" s="7" t="n"/>
      <c r="N116" s="9" t="n"/>
      <c r="O116" s="10">
        <f>IF(L116="","",ROUND(L116-N(N116),2))</f>
        <v/>
      </c>
      <c r="P116" s="8" t="n"/>
      <c r="Q116" s="8" t="n"/>
      <c r="R116" s="11">
        <f>IF(I116="","",IF(M116&lt;&gt;"",YEAR(M116),IF(A116&lt;&gt;"",YEAR(A116),"")))</f>
        <v/>
      </c>
      <c r="S116" s="11">
        <f>IF(I116="","",IF(M116&lt;&gt;"",MONTH(M116),IF(A116&lt;&gt;"",MONTH(A116),"")))</f>
        <v/>
      </c>
    </row>
    <row r="117">
      <c r="A117" s="7" t="n"/>
      <c r="B117" s="8" t="n"/>
      <c r="C117" s="8" t="n"/>
      <c r="D117" s="8" t="n"/>
      <c r="E117" s="8" t="n"/>
      <c r="F117" s="9" t="n"/>
      <c r="G117" s="9" t="n"/>
      <c r="H117" s="8" t="n"/>
      <c r="I117" s="10">
        <f>IF(OR(F117&lt;&gt;"",G117&lt;&gt;""),ROUND(N(F117)+N(G117),2),"")</f>
        <v/>
      </c>
      <c r="J117" s="10">
        <f>IF(I117="","",IF(D117="Sostituto d'imposta",ROUND(I117*Parametri!$B$2,2),0))</f>
        <v/>
      </c>
      <c r="K117" s="11">
        <f>IF(I117="","",IF(I117&gt;Parametri!$B$4,"Si","No"))</f>
        <v/>
      </c>
      <c r="L117" s="10">
        <f>IF(I117="","",I117-J117+IF(AND(K117="Si",H117="Si"),Parametri!$B$3,0))</f>
        <v/>
      </c>
      <c r="M117" s="7" t="n"/>
      <c r="N117" s="9" t="n"/>
      <c r="O117" s="10">
        <f>IF(L117="","",ROUND(L117-N(N117),2))</f>
        <v/>
      </c>
      <c r="P117" s="8" t="n"/>
      <c r="Q117" s="8" t="n"/>
      <c r="R117" s="11">
        <f>IF(I117="","",IF(M117&lt;&gt;"",YEAR(M117),IF(A117&lt;&gt;"",YEAR(A117),"")))</f>
        <v/>
      </c>
      <c r="S117" s="11">
        <f>IF(I117="","",IF(M117&lt;&gt;"",MONTH(M117),IF(A117&lt;&gt;"",MONTH(A117),"")))</f>
        <v/>
      </c>
    </row>
    <row r="118">
      <c r="A118" s="7" t="n"/>
      <c r="B118" s="8" t="n"/>
      <c r="C118" s="8" t="n"/>
      <c r="D118" s="8" t="n"/>
      <c r="E118" s="8" t="n"/>
      <c r="F118" s="9" t="n"/>
      <c r="G118" s="9" t="n"/>
      <c r="H118" s="8" t="n"/>
      <c r="I118" s="10">
        <f>IF(OR(F118&lt;&gt;"",G118&lt;&gt;""),ROUND(N(F118)+N(G118),2),"")</f>
        <v/>
      </c>
      <c r="J118" s="10">
        <f>IF(I118="","",IF(D118="Sostituto d'imposta",ROUND(I118*Parametri!$B$2,2),0))</f>
        <v/>
      </c>
      <c r="K118" s="11">
        <f>IF(I118="","",IF(I118&gt;Parametri!$B$4,"Si","No"))</f>
        <v/>
      </c>
      <c r="L118" s="10">
        <f>IF(I118="","",I118-J118+IF(AND(K118="Si",H118="Si"),Parametri!$B$3,0))</f>
        <v/>
      </c>
      <c r="M118" s="7" t="n"/>
      <c r="N118" s="9" t="n"/>
      <c r="O118" s="10">
        <f>IF(L118="","",ROUND(L118-N(N118),2))</f>
        <v/>
      </c>
      <c r="P118" s="8" t="n"/>
      <c r="Q118" s="8" t="n"/>
      <c r="R118" s="11">
        <f>IF(I118="","",IF(M118&lt;&gt;"",YEAR(M118),IF(A118&lt;&gt;"",YEAR(A118),"")))</f>
        <v/>
      </c>
      <c r="S118" s="11">
        <f>IF(I118="","",IF(M118&lt;&gt;"",MONTH(M118),IF(A118&lt;&gt;"",MONTH(A118),"")))</f>
        <v/>
      </c>
    </row>
    <row r="119">
      <c r="A119" s="7" t="n"/>
      <c r="B119" s="8" t="n"/>
      <c r="C119" s="8" t="n"/>
      <c r="D119" s="8" t="n"/>
      <c r="E119" s="8" t="n"/>
      <c r="F119" s="9" t="n"/>
      <c r="G119" s="9" t="n"/>
      <c r="H119" s="8" t="n"/>
      <c r="I119" s="10">
        <f>IF(OR(F119&lt;&gt;"",G119&lt;&gt;""),ROUND(N(F119)+N(G119),2),"")</f>
        <v/>
      </c>
      <c r="J119" s="10">
        <f>IF(I119="","",IF(D119="Sostituto d'imposta",ROUND(I119*Parametri!$B$2,2),0))</f>
        <v/>
      </c>
      <c r="K119" s="11">
        <f>IF(I119="","",IF(I119&gt;Parametri!$B$4,"Si","No"))</f>
        <v/>
      </c>
      <c r="L119" s="10">
        <f>IF(I119="","",I119-J119+IF(AND(K119="Si",H119="Si"),Parametri!$B$3,0))</f>
        <v/>
      </c>
      <c r="M119" s="7" t="n"/>
      <c r="N119" s="9" t="n"/>
      <c r="O119" s="10">
        <f>IF(L119="","",ROUND(L119-N(N119),2))</f>
        <v/>
      </c>
      <c r="P119" s="8" t="n"/>
      <c r="Q119" s="8" t="n"/>
      <c r="R119" s="11">
        <f>IF(I119="","",IF(M119&lt;&gt;"",YEAR(M119),IF(A119&lt;&gt;"",YEAR(A119),"")))</f>
        <v/>
      </c>
      <c r="S119" s="11">
        <f>IF(I119="","",IF(M119&lt;&gt;"",MONTH(M119),IF(A119&lt;&gt;"",MONTH(A119),"")))</f>
        <v/>
      </c>
    </row>
    <row r="120">
      <c r="A120" s="7" t="n"/>
      <c r="B120" s="8" t="n"/>
      <c r="C120" s="8" t="n"/>
      <c r="D120" s="8" t="n"/>
      <c r="E120" s="8" t="n"/>
      <c r="F120" s="9" t="n"/>
      <c r="G120" s="9" t="n"/>
      <c r="H120" s="8" t="n"/>
      <c r="I120" s="10">
        <f>IF(OR(F120&lt;&gt;"",G120&lt;&gt;""),ROUND(N(F120)+N(G120),2),"")</f>
        <v/>
      </c>
      <c r="J120" s="10">
        <f>IF(I120="","",IF(D120="Sostituto d'imposta",ROUND(I120*Parametri!$B$2,2),0))</f>
        <v/>
      </c>
      <c r="K120" s="11">
        <f>IF(I120="","",IF(I120&gt;Parametri!$B$4,"Si","No"))</f>
        <v/>
      </c>
      <c r="L120" s="10">
        <f>IF(I120="","",I120-J120+IF(AND(K120="Si",H120="Si"),Parametri!$B$3,0))</f>
        <v/>
      </c>
      <c r="M120" s="7" t="n"/>
      <c r="N120" s="9" t="n"/>
      <c r="O120" s="10">
        <f>IF(L120="","",ROUND(L120-N(N120),2))</f>
        <v/>
      </c>
      <c r="P120" s="8" t="n"/>
      <c r="Q120" s="8" t="n"/>
      <c r="R120" s="11">
        <f>IF(I120="","",IF(M120&lt;&gt;"",YEAR(M120),IF(A120&lt;&gt;"",YEAR(A120),"")))</f>
        <v/>
      </c>
      <c r="S120" s="11">
        <f>IF(I120="","",IF(M120&lt;&gt;"",MONTH(M120),IF(A120&lt;&gt;"",MONTH(A120),"")))</f>
        <v/>
      </c>
    </row>
    <row r="121">
      <c r="A121" s="7" t="n"/>
      <c r="B121" s="8" t="n"/>
      <c r="C121" s="8" t="n"/>
      <c r="D121" s="8" t="n"/>
      <c r="E121" s="8" t="n"/>
      <c r="F121" s="9" t="n"/>
      <c r="G121" s="9" t="n"/>
      <c r="H121" s="8" t="n"/>
      <c r="I121" s="10">
        <f>IF(OR(F121&lt;&gt;"",G121&lt;&gt;""),ROUND(N(F121)+N(G121),2),"")</f>
        <v/>
      </c>
      <c r="J121" s="10">
        <f>IF(I121="","",IF(D121="Sostituto d'imposta",ROUND(I121*Parametri!$B$2,2),0))</f>
        <v/>
      </c>
      <c r="K121" s="11">
        <f>IF(I121="","",IF(I121&gt;Parametri!$B$4,"Si","No"))</f>
        <v/>
      </c>
      <c r="L121" s="10">
        <f>IF(I121="","",I121-J121+IF(AND(K121="Si",H121="Si"),Parametri!$B$3,0))</f>
        <v/>
      </c>
      <c r="M121" s="7" t="n"/>
      <c r="N121" s="9" t="n"/>
      <c r="O121" s="10">
        <f>IF(L121="","",ROUND(L121-N(N121),2))</f>
        <v/>
      </c>
      <c r="P121" s="8" t="n"/>
      <c r="Q121" s="8" t="n"/>
      <c r="R121" s="11">
        <f>IF(I121="","",IF(M121&lt;&gt;"",YEAR(M121),IF(A121&lt;&gt;"",YEAR(A121),"")))</f>
        <v/>
      </c>
      <c r="S121" s="11">
        <f>IF(I121="","",IF(M121&lt;&gt;"",MONTH(M121),IF(A121&lt;&gt;"",MONTH(A121),"")))</f>
        <v/>
      </c>
    </row>
    <row r="122">
      <c r="A122" s="7" t="n"/>
      <c r="B122" s="8" t="n"/>
      <c r="C122" s="8" t="n"/>
      <c r="D122" s="8" t="n"/>
      <c r="E122" s="8" t="n"/>
      <c r="F122" s="9" t="n"/>
      <c r="G122" s="9" t="n"/>
      <c r="H122" s="8" t="n"/>
      <c r="I122" s="10">
        <f>IF(OR(F122&lt;&gt;"",G122&lt;&gt;""),ROUND(N(F122)+N(G122),2),"")</f>
        <v/>
      </c>
      <c r="J122" s="10">
        <f>IF(I122="","",IF(D122="Sostituto d'imposta",ROUND(I122*Parametri!$B$2,2),0))</f>
        <v/>
      </c>
      <c r="K122" s="11">
        <f>IF(I122="","",IF(I122&gt;Parametri!$B$4,"Si","No"))</f>
        <v/>
      </c>
      <c r="L122" s="10">
        <f>IF(I122="","",I122-J122+IF(AND(K122="Si",H122="Si"),Parametri!$B$3,0))</f>
        <v/>
      </c>
      <c r="M122" s="7" t="n"/>
      <c r="N122" s="9" t="n"/>
      <c r="O122" s="10">
        <f>IF(L122="","",ROUND(L122-N(N122),2))</f>
        <v/>
      </c>
      <c r="P122" s="8" t="n"/>
      <c r="Q122" s="8" t="n"/>
      <c r="R122" s="11">
        <f>IF(I122="","",IF(M122&lt;&gt;"",YEAR(M122),IF(A122&lt;&gt;"",YEAR(A122),"")))</f>
        <v/>
      </c>
      <c r="S122" s="11">
        <f>IF(I122="","",IF(M122&lt;&gt;"",MONTH(M122),IF(A122&lt;&gt;"",MONTH(A122),"")))</f>
        <v/>
      </c>
    </row>
    <row r="123">
      <c r="A123" s="7" t="n"/>
      <c r="B123" s="8" t="n"/>
      <c r="C123" s="8" t="n"/>
      <c r="D123" s="8" t="n"/>
      <c r="E123" s="8" t="n"/>
      <c r="F123" s="9" t="n"/>
      <c r="G123" s="9" t="n"/>
      <c r="H123" s="8" t="n"/>
      <c r="I123" s="10">
        <f>IF(OR(F123&lt;&gt;"",G123&lt;&gt;""),ROUND(N(F123)+N(G123),2),"")</f>
        <v/>
      </c>
      <c r="J123" s="10">
        <f>IF(I123="","",IF(D123="Sostituto d'imposta",ROUND(I123*Parametri!$B$2,2),0))</f>
        <v/>
      </c>
      <c r="K123" s="11">
        <f>IF(I123="","",IF(I123&gt;Parametri!$B$4,"Si","No"))</f>
        <v/>
      </c>
      <c r="L123" s="10">
        <f>IF(I123="","",I123-J123+IF(AND(K123="Si",H123="Si"),Parametri!$B$3,0))</f>
        <v/>
      </c>
      <c r="M123" s="7" t="n"/>
      <c r="N123" s="9" t="n"/>
      <c r="O123" s="10">
        <f>IF(L123="","",ROUND(L123-N(N123),2))</f>
        <v/>
      </c>
      <c r="P123" s="8" t="n"/>
      <c r="Q123" s="8" t="n"/>
      <c r="R123" s="11">
        <f>IF(I123="","",IF(M123&lt;&gt;"",YEAR(M123),IF(A123&lt;&gt;"",YEAR(A123),"")))</f>
        <v/>
      </c>
      <c r="S123" s="11">
        <f>IF(I123="","",IF(M123&lt;&gt;"",MONTH(M123),IF(A123&lt;&gt;"",MONTH(A123),"")))</f>
        <v/>
      </c>
    </row>
    <row r="124">
      <c r="A124" s="7" t="n"/>
      <c r="B124" s="8" t="n"/>
      <c r="C124" s="8" t="n"/>
      <c r="D124" s="8" t="n"/>
      <c r="E124" s="8" t="n"/>
      <c r="F124" s="9" t="n"/>
      <c r="G124" s="9" t="n"/>
      <c r="H124" s="8" t="n"/>
      <c r="I124" s="10">
        <f>IF(OR(F124&lt;&gt;"",G124&lt;&gt;""),ROUND(N(F124)+N(G124),2),"")</f>
        <v/>
      </c>
      <c r="J124" s="10">
        <f>IF(I124="","",IF(D124="Sostituto d'imposta",ROUND(I124*Parametri!$B$2,2),0))</f>
        <v/>
      </c>
      <c r="K124" s="11">
        <f>IF(I124="","",IF(I124&gt;Parametri!$B$4,"Si","No"))</f>
        <v/>
      </c>
      <c r="L124" s="10">
        <f>IF(I124="","",I124-J124+IF(AND(K124="Si",H124="Si"),Parametri!$B$3,0))</f>
        <v/>
      </c>
      <c r="M124" s="7" t="n"/>
      <c r="N124" s="9" t="n"/>
      <c r="O124" s="10">
        <f>IF(L124="","",ROUND(L124-N(N124),2))</f>
        <v/>
      </c>
      <c r="P124" s="8" t="n"/>
      <c r="Q124" s="8" t="n"/>
      <c r="R124" s="11">
        <f>IF(I124="","",IF(M124&lt;&gt;"",YEAR(M124),IF(A124&lt;&gt;"",YEAR(A124),"")))</f>
        <v/>
      </c>
      <c r="S124" s="11">
        <f>IF(I124="","",IF(M124&lt;&gt;"",MONTH(M124),IF(A124&lt;&gt;"",MONTH(A124),"")))</f>
        <v/>
      </c>
    </row>
    <row r="125">
      <c r="A125" s="7" t="n"/>
      <c r="B125" s="8" t="n"/>
      <c r="C125" s="8" t="n"/>
      <c r="D125" s="8" t="n"/>
      <c r="E125" s="8" t="n"/>
      <c r="F125" s="9" t="n"/>
      <c r="G125" s="9" t="n"/>
      <c r="H125" s="8" t="n"/>
      <c r="I125" s="10">
        <f>IF(OR(F125&lt;&gt;"",G125&lt;&gt;""),ROUND(N(F125)+N(G125),2),"")</f>
        <v/>
      </c>
      <c r="J125" s="10">
        <f>IF(I125="","",IF(D125="Sostituto d'imposta",ROUND(I125*Parametri!$B$2,2),0))</f>
        <v/>
      </c>
      <c r="K125" s="11">
        <f>IF(I125="","",IF(I125&gt;Parametri!$B$4,"Si","No"))</f>
        <v/>
      </c>
      <c r="L125" s="10">
        <f>IF(I125="","",I125-J125+IF(AND(K125="Si",H125="Si"),Parametri!$B$3,0))</f>
        <v/>
      </c>
      <c r="M125" s="7" t="n"/>
      <c r="N125" s="9" t="n"/>
      <c r="O125" s="10">
        <f>IF(L125="","",ROUND(L125-N(N125),2))</f>
        <v/>
      </c>
      <c r="P125" s="8" t="n"/>
      <c r="Q125" s="8" t="n"/>
      <c r="R125" s="11">
        <f>IF(I125="","",IF(M125&lt;&gt;"",YEAR(M125),IF(A125&lt;&gt;"",YEAR(A125),"")))</f>
        <v/>
      </c>
      <c r="S125" s="11">
        <f>IF(I125="","",IF(M125&lt;&gt;"",MONTH(M125),IF(A125&lt;&gt;"",MONTH(A125),"")))</f>
        <v/>
      </c>
    </row>
    <row r="126">
      <c r="A126" s="7" t="n"/>
      <c r="B126" s="8" t="n"/>
      <c r="C126" s="8" t="n"/>
      <c r="D126" s="8" t="n"/>
      <c r="E126" s="8" t="n"/>
      <c r="F126" s="9" t="n"/>
      <c r="G126" s="9" t="n"/>
      <c r="H126" s="8" t="n"/>
      <c r="I126" s="10">
        <f>IF(OR(F126&lt;&gt;"",G126&lt;&gt;""),ROUND(N(F126)+N(G126),2),"")</f>
        <v/>
      </c>
      <c r="J126" s="10">
        <f>IF(I126="","",IF(D126="Sostituto d'imposta",ROUND(I126*Parametri!$B$2,2),0))</f>
        <v/>
      </c>
      <c r="K126" s="11">
        <f>IF(I126="","",IF(I126&gt;Parametri!$B$4,"Si","No"))</f>
        <v/>
      </c>
      <c r="L126" s="10">
        <f>IF(I126="","",I126-J126+IF(AND(K126="Si",H126="Si"),Parametri!$B$3,0))</f>
        <v/>
      </c>
      <c r="M126" s="7" t="n"/>
      <c r="N126" s="9" t="n"/>
      <c r="O126" s="10">
        <f>IF(L126="","",ROUND(L126-N(N126),2))</f>
        <v/>
      </c>
      <c r="P126" s="8" t="n"/>
      <c r="Q126" s="8" t="n"/>
      <c r="R126" s="11">
        <f>IF(I126="","",IF(M126&lt;&gt;"",YEAR(M126),IF(A126&lt;&gt;"",YEAR(A126),"")))</f>
        <v/>
      </c>
      <c r="S126" s="11">
        <f>IF(I126="","",IF(M126&lt;&gt;"",MONTH(M126),IF(A126&lt;&gt;"",MONTH(A126),"")))</f>
        <v/>
      </c>
    </row>
    <row r="127">
      <c r="A127" s="7" t="n"/>
      <c r="B127" s="8" t="n"/>
      <c r="C127" s="8" t="n"/>
      <c r="D127" s="8" t="n"/>
      <c r="E127" s="8" t="n"/>
      <c r="F127" s="9" t="n"/>
      <c r="G127" s="9" t="n"/>
      <c r="H127" s="8" t="n"/>
      <c r="I127" s="10">
        <f>IF(OR(F127&lt;&gt;"",G127&lt;&gt;""),ROUND(N(F127)+N(G127),2),"")</f>
        <v/>
      </c>
      <c r="J127" s="10">
        <f>IF(I127="","",IF(D127="Sostituto d'imposta",ROUND(I127*Parametri!$B$2,2),0))</f>
        <v/>
      </c>
      <c r="K127" s="11">
        <f>IF(I127="","",IF(I127&gt;Parametri!$B$4,"Si","No"))</f>
        <v/>
      </c>
      <c r="L127" s="10">
        <f>IF(I127="","",I127-J127+IF(AND(K127="Si",H127="Si"),Parametri!$B$3,0))</f>
        <v/>
      </c>
      <c r="M127" s="7" t="n"/>
      <c r="N127" s="9" t="n"/>
      <c r="O127" s="10">
        <f>IF(L127="","",ROUND(L127-N(N127),2))</f>
        <v/>
      </c>
      <c r="P127" s="8" t="n"/>
      <c r="Q127" s="8" t="n"/>
      <c r="R127" s="11">
        <f>IF(I127="","",IF(M127&lt;&gt;"",YEAR(M127),IF(A127&lt;&gt;"",YEAR(A127),"")))</f>
        <v/>
      </c>
      <c r="S127" s="11">
        <f>IF(I127="","",IF(M127&lt;&gt;"",MONTH(M127),IF(A127&lt;&gt;"",MONTH(A127),"")))</f>
        <v/>
      </c>
    </row>
    <row r="128">
      <c r="A128" s="7" t="n"/>
      <c r="B128" s="8" t="n"/>
      <c r="C128" s="8" t="n"/>
      <c r="D128" s="8" t="n"/>
      <c r="E128" s="8" t="n"/>
      <c r="F128" s="9" t="n"/>
      <c r="G128" s="9" t="n"/>
      <c r="H128" s="8" t="n"/>
      <c r="I128" s="10">
        <f>IF(OR(F128&lt;&gt;"",G128&lt;&gt;""),ROUND(N(F128)+N(G128),2),"")</f>
        <v/>
      </c>
      <c r="J128" s="10">
        <f>IF(I128="","",IF(D128="Sostituto d'imposta",ROUND(I128*Parametri!$B$2,2),0))</f>
        <v/>
      </c>
      <c r="K128" s="11">
        <f>IF(I128="","",IF(I128&gt;Parametri!$B$4,"Si","No"))</f>
        <v/>
      </c>
      <c r="L128" s="10">
        <f>IF(I128="","",I128-J128+IF(AND(K128="Si",H128="Si"),Parametri!$B$3,0))</f>
        <v/>
      </c>
      <c r="M128" s="7" t="n"/>
      <c r="N128" s="9" t="n"/>
      <c r="O128" s="10">
        <f>IF(L128="","",ROUND(L128-N(N128),2))</f>
        <v/>
      </c>
      <c r="P128" s="8" t="n"/>
      <c r="Q128" s="8" t="n"/>
      <c r="R128" s="11">
        <f>IF(I128="","",IF(M128&lt;&gt;"",YEAR(M128),IF(A128&lt;&gt;"",YEAR(A128),"")))</f>
        <v/>
      </c>
      <c r="S128" s="11">
        <f>IF(I128="","",IF(M128&lt;&gt;"",MONTH(M128),IF(A128&lt;&gt;"",MONTH(A128),"")))</f>
        <v/>
      </c>
    </row>
    <row r="129">
      <c r="A129" s="7" t="n"/>
      <c r="B129" s="8" t="n"/>
      <c r="C129" s="8" t="n"/>
      <c r="D129" s="8" t="n"/>
      <c r="E129" s="8" t="n"/>
      <c r="F129" s="9" t="n"/>
      <c r="G129" s="9" t="n"/>
      <c r="H129" s="8" t="n"/>
      <c r="I129" s="10">
        <f>IF(OR(F129&lt;&gt;"",G129&lt;&gt;""),ROUND(N(F129)+N(G129),2),"")</f>
        <v/>
      </c>
      <c r="J129" s="10">
        <f>IF(I129="","",IF(D129="Sostituto d'imposta",ROUND(I129*Parametri!$B$2,2),0))</f>
        <v/>
      </c>
      <c r="K129" s="11">
        <f>IF(I129="","",IF(I129&gt;Parametri!$B$4,"Si","No"))</f>
        <v/>
      </c>
      <c r="L129" s="10">
        <f>IF(I129="","",I129-J129+IF(AND(K129="Si",H129="Si"),Parametri!$B$3,0))</f>
        <v/>
      </c>
      <c r="M129" s="7" t="n"/>
      <c r="N129" s="9" t="n"/>
      <c r="O129" s="10">
        <f>IF(L129="","",ROUND(L129-N(N129),2))</f>
        <v/>
      </c>
      <c r="P129" s="8" t="n"/>
      <c r="Q129" s="8" t="n"/>
      <c r="R129" s="11">
        <f>IF(I129="","",IF(M129&lt;&gt;"",YEAR(M129),IF(A129&lt;&gt;"",YEAR(A129),"")))</f>
        <v/>
      </c>
      <c r="S129" s="11">
        <f>IF(I129="","",IF(M129&lt;&gt;"",MONTH(M129),IF(A129&lt;&gt;"",MONTH(A129),"")))</f>
        <v/>
      </c>
    </row>
    <row r="130">
      <c r="A130" s="7" t="n"/>
      <c r="B130" s="8" t="n"/>
      <c r="C130" s="8" t="n"/>
      <c r="D130" s="8" t="n"/>
      <c r="E130" s="8" t="n"/>
      <c r="F130" s="9" t="n"/>
      <c r="G130" s="9" t="n"/>
      <c r="H130" s="8" t="n"/>
      <c r="I130" s="10">
        <f>IF(OR(F130&lt;&gt;"",G130&lt;&gt;""),ROUND(N(F130)+N(G130),2),"")</f>
        <v/>
      </c>
      <c r="J130" s="10">
        <f>IF(I130="","",IF(D130="Sostituto d'imposta",ROUND(I130*Parametri!$B$2,2),0))</f>
        <v/>
      </c>
      <c r="K130" s="11">
        <f>IF(I130="","",IF(I130&gt;Parametri!$B$4,"Si","No"))</f>
        <v/>
      </c>
      <c r="L130" s="10">
        <f>IF(I130="","",I130-J130+IF(AND(K130="Si",H130="Si"),Parametri!$B$3,0))</f>
        <v/>
      </c>
      <c r="M130" s="7" t="n"/>
      <c r="N130" s="9" t="n"/>
      <c r="O130" s="10">
        <f>IF(L130="","",ROUND(L130-N(N130),2))</f>
        <v/>
      </c>
      <c r="P130" s="8" t="n"/>
      <c r="Q130" s="8" t="n"/>
      <c r="R130" s="11">
        <f>IF(I130="","",IF(M130&lt;&gt;"",YEAR(M130),IF(A130&lt;&gt;"",YEAR(A130),"")))</f>
        <v/>
      </c>
      <c r="S130" s="11">
        <f>IF(I130="","",IF(M130&lt;&gt;"",MONTH(M130),IF(A130&lt;&gt;"",MONTH(A130),"")))</f>
        <v/>
      </c>
    </row>
    <row r="131">
      <c r="A131" s="7" t="n"/>
      <c r="B131" s="8" t="n"/>
      <c r="C131" s="8" t="n"/>
      <c r="D131" s="8" t="n"/>
      <c r="E131" s="8" t="n"/>
      <c r="F131" s="9" t="n"/>
      <c r="G131" s="9" t="n"/>
      <c r="H131" s="8" t="n"/>
      <c r="I131" s="10">
        <f>IF(OR(F131&lt;&gt;"",G131&lt;&gt;""),ROUND(N(F131)+N(G131),2),"")</f>
        <v/>
      </c>
      <c r="J131" s="10">
        <f>IF(I131="","",IF(D131="Sostituto d'imposta",ROUND(I131*Parametri!$B$2,2),0))</f>
        <v/>
      </c>
      <c r="K131" s="11">
        <f>IF(I131="","",IF(I131&gt;Parametri!$B$4,"Si","No"))</f>
        <v/>
      </c>
      <c r="L131" s="10">
        <f>IF(I131="","",I131-J131+IF(AND(K131="Si",H131="Si"),Parametri!$B$3,0))</f>
        <v/>
      </c>
      <c r="M131" s="7" t="n"/>
      <c r="N131" s="9" t="n"/>
      <c r="O131" s="10">
        <f>IF(L131="","",ROUND(L131-N(N131),2))</f>
        <v/>
      </c>
      <c r="P131" s="8" t="n"/>
      <c r="Q131" s="8" t="n"/>
      <c r="R131" s="11">
        <f>IF(I131="","",IF(M131&lt;&gt;"",YEAR(M131),IF(A131&lt;&gt;"",YEAR(A131),"")))</f>
        <v/>
      </c>
      <c r="S131" s="11">
        <f>IF(I131="","",IF(M131&lt;&gt;"",MONTH(M131),IF(A131&lt;&gt;"",MONTH(A131),"")))</f>
        <v/>
      </c>
    </row>
    <row r="132">
      <c r="A132" s="7" t="n"/>
      <c r="B132" s="8" t="n"/>
      <c r="C132" s="8" t="n"/>
      <c r="D132" s="8" t="n"/>
      <c r="E132" s="8" t="n"/>
      <c r="F132" s="9" t="n"/>
      <c r="G132" s="9" t="n"/>
      <c r="H132" s="8" t="n"/>
      <c r="I132" s="10">
        <f>IF(OR(F132&lt;&gt;"",G132&lt;&gt;""),ROUND(N(F132)+N(G132),2),"")</f>
        <v/>
      </c>
      <c r="J132" s="10">
        <f>IF(I132="","",IF(D132="Sostituto d'imposta",ROUND(I132*Parametri!$B$2,2),0))</f>
        <v/>
      </c>
      <c r="K132" s="11">
        <f>IF(I132="","",IF(I132&gt;Parametri!$B$4,"Si","No"))</f>
        <v/>
      </c>
      <c r="L132" s="10">
        <f>IF(I132="","",I132-J132+IF(AND(K132="Si",H132="Si"),Parametri!$B$3,0))</f>
        <v/>
      </c>
      <c r="M132" s="7" t="n"/>
      <c r="N132" s="9" t="n"/>
      <c r="O132" s="10">
        <f>IF(L132="","",ROUND(L132-N(N132),2))</f>
        <v/>
      </c>
      <c r="P132" s="8" t="n"/>
      <c r="Q132" s="8" t="n"/>
      <c r="R132" s="11">
        <f>IF(I132="","",IF(M132&lt;&gt;"",YEAR(M132),IF(A132&lt;&gt;"",YEAR(A132),"")))</f>
        <v/>
      </c>
      <c r="S132" s="11">
        <f>IF(I132="","",IF(M132&lt;&gt;"",MONTH(M132),IF(A132&lt;&gt;"",MONTH(A132),"")))</f>
        <v/>
      </c>
    </row>
    <row r="133">
      <c r="A133" s="7" t="n"/>
      <c r="B133" s="8" t="n"/>
      <c r="C133" s="8" t="n"/>
      <c r="D133" s="8" t="n"/>
      <c r="E133" s="8" t="n"/>
      <c r="F133" s="9" t="n"/>
      <c r="G133" s="9" t="n"/>
      <c r="H133" s="8" t="n"/>
      <c r="I133" s="10">
        <f>IF(OR(F133&lt;&gt;"",G133&lt;&gt;""),ROUND(N(F133)+N(G133),2),"")</f>
        <v/>
      </c>
      <c r="J133" s="10">
        <f>IF(I133="","",IF(D133="Sostituto d'imposta",ROUND(I133*Parametri!$B$2,2),0))</f>
        <v/>
      </c>
      <c r="K133" s="11">
        <f>IF(I133="","",IF(I133&gt;Parametri!$B$4,"Si","No"))</f>
        <v/>
      </c>
      <c r="L133" s="10">
        <f>IF(I133="","",I133-J133+IF(AND(K133="Si",H133="Si"),Parametri!$B$3,0))</f>
        <v/>
      </c>
      <c r="M133" s="7" t="n"/>
      <c r="N133" s="9" t="n"/>
      <c r="O133" s="10">
        <f>IF(L133="","",ROUND(L133-N(N133),2))</f>
        <v/>
      </c>
      <c r="P133" s="8" t="n"/>
      <c r="Q133" s="8" t="n"/>
      <c r="R133" s="11">
        <f>IF(I133="","",IF(M133&lt;&gt;"",YEAR(M133),IF(A133&lt;&gt;"",YEAR(A133),"")))</f>
        <v/>
      </c>
      <c r="S133" s="11">
        <f>IF(I133="","",IF(M133&lt;&gt;"",MONTH(M133),IF(A133&lt;&gt;"",MONTH(A133),"")))</f>
        <v/>
      </c>
    </row>
    <row r="134">
      <c r="A134" s="7" t="n"/>
      <c r="B134" s="8" t="n"/>
      <c r="C134" s="8" t="n"/>
      <c r="D134" s="8" t="n"/>
      <c r="E134" s="8" t="n"/>
      <c r="F134" s="9" t="n"/>
      <c r="G134" s="9" t="n"/>
      <c r="H134" s="8" t="n"/>
      <c r="I134" s="10">
        <f>IF(OR(F134&lt;&gt;"",G134&lt;&gt;""),ROUND(N(F134)+N(G134),2),"")</f>
        <v/>
      </c>
      <c r="J134" s="10">
        <f>IF(I134="","",IF(D134="Sostituto d'imposta",ROUND(I134*Parametri!$B$2,2),0))</f>
        <v/>
      </c>
      <c r="K134" s="11">
        <f>IF(I134="","",IF(I134&gt;Parametri!$B$4,"Si","No"))</f>
        <v/>
      </c>
      <c r="L134" s="10">
        <f>IF(I134="","",I134-J134+IF(AND(K134="Si",H134="Si"),Parametri!$B$3,0))</f>
        <v/>
      </c>
      <c r="M134" s="7" t="n"/>
      <c r="N134" s="9" t="n"/>
      <c r="O134" s="10">
        <f>IF(L134="","",ROUND(L134-N(N134),2))</f>
        <v/>
      </c>
      <c r="P134" s="8" t="n"/>
      <c r="Q134" s="8" t="n"/>
      <c r="R134" s="11">
        <f>IF(I134="","",IF(M134&lt;&gt;"",YEAR(M134),IF(A134&lt;&gt;"",YEAR(A134),"")))</f>
        <v/>
      </c>
      <c r="S134" s="11">
        <f>IF(I134="","",IF(M134&lt;&gt;"",MONTH(M134),IF(A134&lt;&gt;"",MONTH(A134),"")))</f>
        <v/>
      </c>
    </row>
    <row r="135">
      <c r="A135" s="7" t="n"/>
      <c r="B135" s="8" t="n"/>
      <c r="C135" s="8" t="n"/>
      <c r="D135" s="8" t="n"/>
      <c r="E135" s="8" t="n"/>
      <c r="F135" s="9" t="n"/>
      <c r="G135" s="9" t="n"/>
      <c r="H135" s="8" t="n"/>
      <c r="I135" s="10">
        <f>IF(OR(F135&lt;&gt;"",G135&lt;&gt;""),ROUND(N(F135)+N(G135),2),"")</f>
        <v/>
      </c>
      <c r="J135" s="10">
        <f>IF(I135="","",IF(D135="Sostituto d'imposta",ROUND(I135*Parametri!$B$2,2),0))</f>
        <v/>
      </c>
      <c r="K135" s="11">
        <f>IF(I135="","",IF(I135&gt;Parametri!$B$4,"Si","No"))</f>
        <v/>
      </c>
      <c r="L135" s="10">
        <f>IF(I135="","",I135-J135+IF(AND(K135="Si",H135="Si"),Parametri!$B$3,0))</f>
        <v/>
      </c>
      <c r="M135" s="7" t="n"/>
      <c r="N135" s="9" t="n"/>
      <c r="O135" s="10">
        <f>IF(L135="","",ROUND(L135-N(N135),2))</f>
        <v/>
      </c>
      <c r="P135" s="8" t="n"/>
      <c r="Q135" s="8" t="n"/>
      <c r="R135" s="11">
        <f>IF(I135="","",IF(M135&lt;&gt;"",YEAR(M135),IF(A135&lt;&gt;"",YEAR(A135),"")))</f>
        <v/>
      </c>
      <c r="S135" s="11">
        <f>IF(I135="","",IF(M135&lt;&gt;"",MONTH(M135),IF(A135&lt;&gt;"",MONTH(A135),"")))</f>
        <v/>
      </c>
    </row>
    <row r="136">
      <c r="A136" s="7" t="n"/>
      <c r="B136" s="8" t="n"/>
      <c r="C136" s="8" t="n"/>
      <c r="D136" s="8" t="n"/>
      <c r="E136" s="8" t="n"/>
      <c r="F136" s="9" t="n"/>
      <c r="G136" s="9" t="n"/>
      <c r="H136" s="8" t="n"/>
      <c r="I136" s="10">
        <f>IF(OR(F136&lt;&gt;"",G136&lt;&gt;""),ROUND(N(F136)+N(G136),2),"")</f>
        <v/>
      </c>
      <c r="J136" s="10">
        <f>IF(I136="","",IF(D136="Sostituto d'imposta",ROUND(I136*Parametri!$B$2,2),0))</f>
        <v/>
      </c>
      <c r="K136" s="11">
        <f>IF(I136="","",IF(I136&gt;Parametri!$B$4,"Si","No"))</f>
        <v/>
      </c>
      <c r="L136" s="10">
        <f>IF(I136="","",I136-J136+IF(AND(K136="Si",H136="Si"),Parametri!$B$3,0))</f>
        <v/>
      </c>
      <c r="M136" s="7" t="n"/>
      <c r="N136" s="9" t="n"/>
      <c r="O136" s="10">
        <f>IF(L136="","",ROUND(L136-N(N136),2))</f>
        <v/>
      </c>
      <c r="P136" s="8" t="n"/>
      <c r="Q136" s="8" t="n"/>
      <c r="R136" s="11">
        <f>IF(I136="","",IF(M136&lt;&gt;"",YEAR(M136),IF(A136&lt;&gt;"",YEAR(A136),"")))</f>
        <v/>
      </c>
      <c r="S136" s="11">
        <f>IF(I136="","",IF(M136&lt;&gt;"",MONTH(M136),IF(A136&lt;&gt;"",MONTH(A136),"")))</f>
        <v/>
      </c>
    </row>
    <row r="137">
      <c r="A137" s="7" t="n"/>
      <c r="B137" s="8" t="n"/>
      <c r="C137" s="8" t="n"/>
      <c r="D137" s="8" t="n"/>
      <c r="E137" s="8" t="n"/>
      <c r="F137" s="9" t="n"/>
      <c r="G137" s="9" t="n"/>
      <c r="H137" s="8" t="n"/>
      <c r="I137" s="10">
        <f>IF(OR(F137&lt;&gt;"",G137&lt;&gt;""),ROUND(N(F137)+N(G137),2),"")</f>
        <v/>
      </c>
      <c r="J137" s="10">
        <f>IF(I137="","",IF(D137="Sostituto d'imposta",ROUND(I137*Parametri!$B$2,2),0))</f>
        <v/>
      </c>
      <c r="K137" s="11">
        <f>IF(I137="","",IF(I137&gt;Parametri!$B$4,"Si","No"))</f>
        <v/>
      </c>
      <c r="L137" s="10">
        <f>IF(I137="","",I137-J137+IF(AND(K137="Si",H137="Si"),Parametri!$B$3,0))</f>
        <v/>
      </c>
      <c r="M137" s="7" t="n"/>
      <c r="N137" s="9" t="n"/>
      <c r="O137" s="10">
        <f>IF(L137="","",ROUND(L137-N(N137),2))</f>
        <v/>
      </c>
      <c r="P137" s="8" t="n"/>
      <c r="Q137" s="8" t="n"/>
      <c r="R137" s="11">
        <f>IF(I137="","",IF(M137&lt;&gt;"",YEAR(M137),IF(A137&lt;&gt;"",YEAR(A137),"")))</f>
        <v/>
      </c>
      <c r="S137" s="11">
        <f>IF(I137="","",IF(M137&lt;&gt;"",MONTH(M137),IF(A137&lt;&gt;"",MONTH(A137),"")))</f>
        <v/>
      </c>
    </row>
    <row r="138">
      <c r="A138" s="7" t="n"/>
      <c r="B138" s="8" t="n"/>
      <c r="C138" s="8" t="n"/>
      <c r="D138" s="8" t="n"/>
      <c r="E138" s="8" t="n"/>
      <c r="F138" s="9" t="n"/>
      <c r="G138" s="9" t="n"/>
      <c r="H138" s="8" t="n"/>
      <c r="I138" s="10">
        <f>IF(OR(F138&lt;&gt;"",G138&lt;&gt;""),ROUND(N(F138)+N(G138),2),"")</f>
        <v/>
      </c>
      <c r="J138" s="10">
        <f>IF(I138="","",IF(D138="Sostituto d'imposta",ROUND(I138*Parametri!$B$2,2),0))</f>
        <v/>
      </c>
      <c r="K138" s="11">
        <f>IF(I138="","",IF(I138&gt;Parametri!$B$4,"Si","No"))</f>
        <v/>
      </c>
      <c r="L138" s="10">
        <f>IF(I138="","",I138-J138+IF(AND(K138="Si",H138="Si"),Parametri!$B$3,0))</f>
        <v/>
      </c>
      <c r="M138" s="7" t="n"/>
      <c r="N138" s="9" t="n"/>
      <c r="O138" s="10">
        <f>IF(L138="","",ROUND(L138-N(N138),2))</f>
        <v/>
      </c>
      <c r="P138" s="8" t="n"/>
      <c r="Q138" s="8" t="n"/>
      <c r="R138" s="11">
        <f>IF(I138="","",IF(M138&lt;&gt;"",YEAR(M138),IF(A138&lt;&gt;"",YEAR(A138),"")))</f>
        <v/>
      </c>
      <c r="S138" s="11">
        <f>IF(I138="","",IF(M138&lt;&gt;"",MONTH(M138),IF(A138&lt;&gt;"",MONTH(A138),"")))</f>
        <v/>
      </c>
    </row>
    <row r="139">
      <c r="A139" s="7" t="n"/>
      <c r="B139" s="8" t="n"/>
      <c r="C139" s="8" t="n"/>
      <c r="D139" s="8" t="n"/>
      <c r="E139" s="8" t="n"/>
      <c r="F139" s="9" t="n"/>
      <c r="G139" s="9" t="n"/>
      <c r="H139" s="8" t="n"/>
      <c r="I139" s="10">
        <f>IF(OR(F139&lt;&gt;"",G139&lt;&gt;""),ROUND(N(F139)+N(G139),2),"")</f>
        <v/>
      </c>
      <c r="J139" s="10">
        <f>IF(I139="","",IF(D139="Sostituto d'imposta",ROUND(I139*Parametri!$B$2,2),0))</f>
        <v/>
      </c>
      <c r="K139" s="11">
        <f>IF(I139="","",IF(I139&gt;Parametri!$B$4,"Si","No"))</f>
        <v/>
      </c>
      <c r="L139" s="10">
        <f>IF(I139="","",I139-J139+IF(AND(K139="Si",H139="Si"),Parametri!$B$3,0))</f>
        <v/>
      </c>
      <c r="M139" s="7" t="n"/>
      <c r="N139" s="9" t="n"/>
      <c r="O139" s="10">
        <f>IF(L139="","",ROUND(L139-N(N139),2))</f>
        <v/>
      </c>
      <c r="P139" s="8" t="n"/>
      <c r="Q139" s="8" t="n"/>
      <c r="R139" s="11">
        <f>IF(I139="","",IF(M139&lt;&gt;"",YEAR(M139),IF(A139&lt;&gt;"",YEAR(A139),"")))</f>
        <v/>
      </c>
      <c r="S139" s="11">
        <f>IF(I139="","",IF(M139&lt;&gt;"",MONTH(M139),IF(A139&lt;&gt;"",MONTH(A139),"")))</f>
        <v/>
      </c>
    </row>
    <row r="140">
      <c r="A140" s="7" t="n"/>
      <c r="B140" s="8" t="n"/>
      <c r="C140" s="8" t="n"/>
      <c r="D140" s="8" t="n"/>
      <c r="E140" s="8" t="n"/>
      <c r="F140" s="9" t="n"/>
      <c r="G140" s="9" t="n"/>
      <c r="H140" s="8" t="n"/>
      <c r="I140" s="10">
        <f>IF(OR(F140&lt;&gt;"",G140&lt;&gt;""),ROUND(N(F140)+N(G140),2),"")</f>
        <v/>
      </c>
      <c r="J140" s="10">
        <f>IF(I140="","",IF(D140="Sostituto d'imposta",ROUND(I140*Parametri!$B$2,2),0))</f>
        <v/>
      </c>
      <c r="K140" s="11">
        <f>IF(I140="","",IF(I140&gt;Parametri!$B$4,"Si","No"))</f>
        <v/>
      </c>
      <c r="L140" s="10">
        <f>IF(I140="","",I140-J140+IF(AND(K140="Si",H140="Si"),Parametri!$B$3,0))</f>
        <v/>
      </c>
      <c r="M140" s="7" t="n"/>
      <c r="N140" s="9" t="n"/>
      <c r="O140" s="10">
        <f>IF(L140="","",ROUND(L140-N(N140),2))</f>
        <v/>
      </c>
      <c r="P140" s="8" t="n"/>
      <c r="Q140" s="8" t="n"/>
      <c r="R140" s="11">
        <f>IF(I140="","",IF(M140&lt;&gt;"",YEAR(M140),IF(A140&lt;&gt;"",YEAR(A140),"")))</f>
        <v/>
      </c>
      <c r="S140" s="11">
        <f>IF(I140="","",IF(M140&lt;&gt;"",MONTH(M140),IF(A140&lt;&gt;"",MONTH(A140),"")))</f>
        <v/>
      </c>
    </row>
    <row r="141">
      <c r="A141" s="7" t="n"/>
      <c r="B141" s="8" t="n"/>
      <c r="C141" s="8" t="n"/>
      <c r="D141" s="8" t="n"/>
      <c r="E141" s="8" t="n"/>
      <c r="F141" s="9" t="n"/>
      <c r="G141" s="9" t="n"/>
      <c r="H141" s="8" t="n"/>
      <c r="I141" s="10">
        <f>IF(OR(F141&lt;&gt;"",G141&lt;&gt;""),ROUND(N(F141)+N(G141),2),"")</f>
        <v/>
      </c>
      <c r="J141" s="10">
        <f>IF(I141="","",IF(D141="Sostituto d'imposta",ROUND(I141*Parametri!$B$2,2),0))</f>
        <v/>
      </c>
      <c r="K141" s="11">
        <f>IF(I141="","",IF(I141&gt;Parametri!$B$4,"Si","No"))</f>
        <v/>
      </c>
      <c r="L141" s="10">
        <f>IF(I141="","",I141-J141+IF(AND(K141="Si",H141="Si"),Parametri!$B$3,0))</f>
        <v/>
      </c>
      <c r="M141" s="7" t="n"/>
      <c r="N141" s="9" t="n"/>
      <c r="O141" s="10">
        <f>IF(L141="","",ROUND(L141-N(N141),2))</f>
        <v/>
      </c>
      <c r="P141" s="8" t="n"/>
      <c r="Q141" s="8" t="n"/>
      <c r="R141" s="11">
        <f>IF(I141="","",IF(M141&lt;&gt;"",YEAR(M141),IF(A141&lt;&gt;"",YEAR(A141),"")))</f>
        <v/>
      </c>
      <c r="S141" s="11">
        <f>IF(I141="","",IF(M141&lt;&gt;"",MONTH(M141),IF(A141&lt;&gt;"",MONTH(A141),"")))</f>
        <v/>
      </c>
    </row>
    <row r="142">
      <c r="A142" s="7" t="n"/>
      <c r="B142" s="8" t="n"/>
      <c r="C142" s="8" t="n"/>
      <c r="D142" s="8" t="n"/>
      <c r="E142" s="8" t="n"/>
      <c r="F142" s="9" t="n"/>
      <c r="G142" s="9" t="n"/>
      <c r="H142" s="8" t="n"/>
      <c r="I142" s="10">
        <f>IF(OR(F142&lt;&gt;"",G142&lt;&gt;""),ROUND(N(F142)+N(G142),2),"")</f>
        <v/>
      </c>
      <c r="J142" s="10">
        <f>IF(I142="","",IF(D142="Sostituto d'imposta",ROUND(I142*Parametri!$B$2,2),0))</f>
        <v/>
      </c>
      <c r="K142" s="11">
        <f>IF(I142="","",IF(I142&gt;Parametri!$B$4,"Si","No"))</f>
        <v/>
      </c>
      <c r="L142" s="10">
        <f>IF(I142="","",I142-J142+IF(AND(K142="Si",H142="Si"),Parametri!$B$3,0))</f>
        <v/>
      </c>
      <c r="M142" s="7" t="n"/>
      <c r="N142" s="9" t="n"/>
      <c r="O142" s="10">
        <f>IF(L142="","",ROUND(L142-N(N142),2))</f>
        <v/>
      </c>
      <c r="P142" s="8" t="n"/>
      <c r="Q142" s="8" t="n"/>
      <c r="R142" s="11">
        <f>IF(I142="","",IF(M142&lt;&gt;"",YEAR(M142),IF(A142&lt;&gt;"",YEAR(A142),"")))</f>
        <v/>
      </c>
      <c r="S142" s="11">
        <f>IF(I142="","",IF(M142&lt;&gt;"",MONTH(M142),IF(A142&lt;&gt;"",MONTH(A142),"")))</f>
        <v/>
      </c>
    </row>
    <row r="143">
      <c r="A143" s="7" t="n"/>
      <c r="B143" s="8" t="n"/>
      <c r="C143" s="8" t="n"/>
      <c r="D143" s="8" t="n"/>
      <c r="E143" s="8" t="n"/>
      <c r="F143" s="9" t="n"/>
      <c r="G143" s="9" t="n"/>
      <c r="H143" s="8" t="n"/>
      <c r="I143" s="10">
        <f>IF(OR(F143&lt;&gt;"",G143&lt;&gt;""),ROUND(N(F143)+N(G143),2),"")</f>
        <v/>
      </c>
      <c r="J143" s="10">
        <f>IF(I143="","",IF(D143="Sostituto d'imposta",ROUND(I143*Parametri!$B$2,2),0))</f>
        <v/>
      </c>
      <c r="K143" s="11">
        <f>IF(I143="","",IF(I143&gt;Parametri!$B$4,"Si","No"))</f>
        <v/>
      </c>
      <c r="L143" s="10">
        <f>IF(I143="","",I143-J143+IF(AND(K143="Si",H143="Si"),Parametri!$B$3,0))</f>
        <v/>
      </c>
      <c r="M143" s="7" t="n"/>
      <c r="N143" s="9" t="n"/>
      <c r="O143" s="10">
        <f>IF(L143="","",ROUND(L143-N(N143),2))</f>
        <v/>
      </c>
      <c r="P143" s="8" t="n"/>
      <c r="Q143" s="8" t="n"/>
      <c r="R143" s="11">
        <f>IF(I143="","",IF(M143&lt;&gt;"",YEAR(M143),IF(A143&lt;&gt;"",YEAR(A143),"")))</f>
        <v/>
      </c>
      <c r="S143" s="11">
        <f>IF(I143="","",IF(M143&lt;&gt;"",MONTH(M143),IF(A143&lt;&gt;"",MONTH(A143),"")))</f>
        <v/>
      </c>
    </row>
    <row r="144">
      <c r="A144" s="7" t="n"/>
      <c r="B144" s="8" t="n"/>
      <c r="C144" s="8" t="n"/>
      <c r="D144" s="8" t="n"/>
      <c r="E144" s="8" t="n"/>
      <c r="F144" s="9" t="n"/>
      <c r="G144" s="9" t="n"/>
      <c r="H144" s="8" t="n"/>
      <c r="I144" s="10">
        <f>IF(OR(F144&lt;&gt;"",G144&lt;&gt;""),ROUND(N(F144)+N(G144),2),"")</f>
        <v/>
      </c>
      <c r="J144" s="10">
        <f>IF(I144="","",IF(D144="Sostituto d'imposta",ROUND(I144*Parametri!$B$2,2),0))</f>
        <v/>
      </c>
      <c r="K144" s="11">
        <f>IF(I144="","",IF(I144&gt;Parametri!$B$4,"Si","No"))</f>
        <v/>
      </c>
      <c r="L144" s="10">
        <f>IF(I144="","",I144-J144+IF(AND(K144="Si",H144="Si"),Parametri!$B$3,0))</f>
        <v/>
      </c>
      <c r="M144" s="7" t="n"/>
      <c r="N144" s="9" t="n"/>
      <c r="O144" s="10">
        <f>IF(L144="","",ROUND(L144-N(N144),2))</f>
        <v/>
      </c>
      <c r="P144" s="8" t="n"/>
      <c r="Q144" s="8" t="n"/>
      <c r="R144" s="11">
        <f>IF(I144="","",IF(M144&lt;&gt;"",YEAR(M144),IF(A144&lt;&gt;"",YEAR(A144),"")))</f>
        <v/>
      </c>
      <c r="S144" s="11">
        <f>IF(I144="","",IF(M144&lt;&gt;"",MONTH(M144),IF(A144&lt;&gt;"",MONTH(A144),"")))</f>
        <v/>
      </c>
    </row>
    <row r="145">
      <c r="A145" s="7" t="n"/>
      <c r="B145" s="8" t="n"/>
      <c r="C145" s="8" t="n"/>
      <c r="D145" s="8" t="n"/>
      <c r="E145" s="8" t="n"/>
      <c r="F145" s="9" t="n"/>
      <c r="G145" s="9" t="n"/>
      <c r="H145" s="8" t="n"/>
      <c r="I145" s="10">
        <f>IF(OR(F145&lt;&gt;"",G145&lt;&gt;""),ROUND(N(F145)+N(G145),2),"")</f>
        <v/>
      </c>
      <c r="J145" s="10">
        <f>IF(I145="","",IF(D145="Sostituto d'imposta",ROUND(I145*Parametri!$B$2,2),0))</f>
        <v/>
      </c>
      <c r="K145" s="11">
        <f>IF(I145="","",IF(I145&gt;Parametri!$B$4,"Si","No"))</f>
        <v/>
      </c>
      <c r="L145" s="10">
        <f>IF(I145="","",I145-J145+IF(AND(K145="Si",H145="Si"),Parametri!$B$3,0))</f>
        <v/>
      </c>
      <c r="M145" s="7" t="n"/>
      <c r="N145" s="9" t="n"/>
      <c r="O145" s="10">
        <f>IF(L145="","",ROUND(L145-N(N145),2))</f>
        <v/>
      </c>
      <c r="P145" s="8" t="n"/>
      <c r="Q145" s="8" t="n"/>
      <c r="R145" s="11">
        <f>IF(I145="","",IF(M145&lt;&gt;"",YEAR(M145),IF(A145&lt;&gt;"",YEAR(A145),"")))</f>
        <v/>
      </c>
      <c r="S145" s="11">
        <f>IF(I145="","",IF(M145&lt;&gt;"",MONTH(M145),IF(A145&lt;&gt;"",MONTH(A145),"")))</f>
        <v/>
      </c>
    </row>
    <row r="146">
      <c r="A146" s="7" t="n"/>
      <c r="B146" s="8" t="n"/>
      <c r="C146" s="8" t="n"/>
      <c r="D146" s="8" t="n"/>
      <c r="E146" s="8" t="n"/>
      <c r="F146" s="9" t="n"/>
      <c r="G146" s="9" t="n"/>
      <c r="H146" s="8" t="n"/>
      <c r="I146" s="10">
        <f>IF(OR(F146&lt;&gt;"",G146&lt;&gt;""),ROUND(N(F146)+N(G146),2),"")</f>
        <v/>
      </c>
      <c r="J146" s="10">
        <f>IF(I146="","",IF(D146="Sostituto d'imposta",ROUND(I146*Parametri!$B$2,2),0))</f>
        <v/>
      </c>
      <c r="K146" s="11">
        <f>IF(I146="","",IF(I146&gt;Parametri!$B$4,"Si","No"))</f>
        <v/>
      </c>
      <c r="L146" s="10">
        <f>IF(I146="","",I146-J146+IF(AND(K146="Si",H146="Si"),Parametri!$B$3,0))</f>
        <v/>
      </c>
      <c r="M146" s="7" t="n"/>
      <c r="N146" s="9" t="n"/>
      <c r="O146" s="10">
        <f>IF(L146="","",ROUND(L146-N(N146),2))</f>
        <v/>
      </c>
      <c r="P146" s="8" t="n"/>
      <c r="Q146" s="8" t="n"/>
      <c r="R146" s="11">
        <f>IF(I146="","",IF(M146&lt;&gt;"",YEAR(M146),IF(A146&lt;&gt;"",YEAR(A146),"")))</f>
        <v/>
      </c>
      <c r="S146" s="11">
        <f>IF(I146="","",IF(M146&lt;&gt;"",MONTH(M146),IF(A146&lt;&gt;"",MONTH(A146),"")))</f>
        <v/>
      </c>
    </row>
    <row r="147">
      <c r="A147" s="7" t="n"/>
      <c r="B147" s="8" t="n"/>
      <c r="C147" s="8" t="n"/>
      <c r="D147" s="8" t="n"/>
      <c r="E147" s="8" t="n"/>
      <c r="F147" s="9" t="n"/>
      <c r="G147" s="9" t="n"/>
      <c r="H147" s="8" t="n"/>
      <c r="I147" s="10">
        <f>IF(OR(F147&lt;&gt;"",G147&lt;&gt;""),ROUND(N(F147)+N(G147),2),"")</f>
        <v/>
      </c>
      <c r="J147" s="10">
        <f>IF(I147="","",IF(D147="Sostituto d'imposta",ROUND(I147*Parametri!$B$2,2),0))</f>
        <v/>
      </c>
      <c r="K147" s="11">
        <f>IF(I147="","",IF(I147&gt;Parametri!$B$4,"Si","No"))</f>
        <v/>
      </c>
      <c r="L147" s="10">
        <f>IF(I147="","",I147-J147+IF(AND(K147="Si",H147="Si"),Parametri!$B$3,0))</f>
        <v/>
      </c>
      <c r="M147" s="7" t="n"/>
      <c r="N147" s="9" t="n"/>
      <c r="O147" s="10">
        <f>IF(L147="","",ROUND(L147-N(N147),2))</f>
        <v/>
      </c>
      <c r="P147" s="8" t="n"/>
      <c r="Q147" s="8" t="n"/>
      <c r="R147" s="11">
        <f>IF(I147="","",IF(M147&lt;&gt;"",YEAR(M147),IF(A147&lt;&gt;"",YEAR(A147),"")))</f>
        <v/>
      </c>
      <c r="S147" s="11">
        <f>IF(I147="","",IF(M147&lt;&gt;"",MONTH(M147),IF(A147&lt;&gt;"",MONTH(A147),"")))</f>
        <v/>
      </c>
    </row>
    <row r="148">
      <c r="A148" s="7" t="n"/>
      <c r="B148" s="8" t="n"/>
      <c r="C148" s="8" t="n"/>
      <c r="D148" s="8" t="n"/>
      <c r="E148" s="8" t="n"/>
      <c r="F148" s="9" t="n"/>
      <c r="G148" s="9" t="n"/>
      <c r="H148" s="8" t="n"/>
      <c r="I148" s="10">
        <f>IF(OR(F148&lt;&gt;"",G148&lt;&gt;""),ROUND(N(F148)+N(G148),2),"")</f>
        <v/>
      </c>
      <c r="J148" s="10">
        <f>IF(I148="","",IF(D148="Sostituto d'imposta",ROUND(I148*Parametri!$B$2,2),0))</f>
        <v/>
      </c>
      <c r="K148" s="11">
        <f>IF(I148="","",IF(I148&gt;Parametri!$B$4,"Si","No"))</f>
        <v/>
      </c>
      <c r="L148" s="10">
        <f>IF(I148="","",I148-J148+IF(AND(K148="Si",H148="Si"),Parametri!$B$3,0))</f>
        <v/>
      </c>
      <c r="M148" s="7" t="n"/>
      <c r="N148" s="9" t="n"/>
      <c r="O148" s="10">
        <f>IF(L148="","",ROUND(L148-N(N148),2))</f>
        <v/>
      </c>
      <c r="P148" s="8" t="n"/>
      <c r="Q148" s="8" t="n"/>
      <c r="R148" s="11">
        <f>IF(I148="","",IF(M148&lt;&gt;"",YEAR(M148),IF(A148&lt;&gt;"",YEAR(A148),"")))</f>
        <v/>
      </c>
      <c r="S148" s="11">
        <f>IF(I148="","",IF(M148&lt;&gt;"",MONTH(M148),IF(A148&lt;&gt;"",MONTH(A148),"")))</f>
        <v/>
      </c>
    </row>
    <row r="149">
      <c r="A149" s="7" t="n"/>
      <c r="B149" s="8" t="n"/>
      <c r="C149" s="8" t="n"/>
      <c r="D149" s="8" t="n"/>
      <c r="E149" s="8" t="n"/>
      <c r="F149" s="9" t="n"/>
      <c r="G149" s="9" t="n"/>
      <c r="H149" s="8" t="n"/>
      <c r="I149" s="10">
        <f>IF(OR(F149&lt;&gt;"",G149&lt;&gt;""),ROUND(N(F149)+N(G149),2),"")</f>
        <v/>
      </c>
      <c r="J149" s="10">
        <f>IF(I149="","",IF(D149="Sostituto d'imposta",ROUND(I149*Parametri!$B$2,2),0))</f>
        <v/>
      </c>
      <c r="K149" s="11">
        <f>IF(I149="","",IF(I149&gt;Parametri!$B$4,"Si","No"))</f>
        <v/>
      </c>
      <c r="L149" s="10">
        <f>IF(I149="","",I149-J149+IF(AND(K149="Si",H149="Si"),Parametri!$B$3,0))</f>
        <v/>
      </c>
      <c r="M149" s="7" t="n"/>
      <c r="N149" s="9" t="n"/>
      <c r="O149" s="10">
        <f>IF(L149="","",ROUND(L149-N(N149),2))</f>
        <v/>
      </c>
      <c r="P149" s="8" t="n"/>
      <c r="Q149" s="8" t="n"/>
      <c r="R149" s="11">
        <f>IF(I149="","",IF(M149&lt;&gt;"",YEAR(M149),IF(A149&lt;&gt;"",YEAR(A149),"")))</f>
        <v/>
      </c>
      <c r="S149" s="11">
        <f>IF(I149="","",IF(M149&lt;&gt;"",MONTH(M149),IF(A149&lt;&gt;"",MONTH(A149),"")))</f>
        <v/>
      </c>
    </row>
    <row r="150">
      <c r="A150" s="7" t="n"/>
      <c r="B150" s="8" t="n"/>
      <c r="C150" s="8" t="n"/>
      <c r="D150" s="8" t="n"/>
      <c r="E150" s="8" t="n"/>
      <c r="F150" s="9" t="n"/>
      <c r="G150" s="9" t="n"/>
      <c r="H150" s="8" t="n"/>
      <c r="I150" s="10">
        <f>IF(OR(F150&lt;&gt;"",G150&lt;&gt;""),ROUND(N(F150)+N(G150),2),"")</f>
        <v/>
      </c>
      <c r="J150" s="10">
        <f>IF(I150="","",IF(D150="Sostituto d'imposta",ROUND(I150*Parametri!$B$2,2),0))</f>
        <v/>
      </c>
      <c r="K150" s="11">
        <f>IF(I150="","",IF(I150&gt;Parametri!$B$4,"Si","No"))</f>
        <v/>
      </c>
      <c r="L150" s="10">
        <f>IF(I150="","",I150-J150+IF(AND(K150="Si",H150="Si"),Parametri!$B$3,0))</f>
        <v/>
      </c>
      <c r="M150" s="7" t="n"/>
      <c r="N150" s="9" t="n"/>
      <c r="O150" s="10">
        <f>IF(L150="","",ROUND(L150-N(N150),2))</f>
        <v/>
      </c>
      <c r="P150" s="8" t="n"/>
      <c r="Q150" s="8" t="n"/>
      <c r="R150" s="11">
        <f>IF(I150="","",IF(M150&lt;&gt;"",YEAR(M150),IF(A150&lt;&gt;"",YEAR(A150),"")))</f>
        <v/>
      </c>
      <c r="S150" s="11">
        <f>IF(I150="","",IF(M150&lt;&gt;"",MONTH(M150),IF(A150&lt;&gt;"",MONTH(A150),"")))</f>
        <v/>
      </c>
    </row>
    <row r="151">
      <c r="A151" s="7" t="n"/>
      <c r="B151" s="8" t="n"/>
      <c r="C151" s="8" t="n"/>
      <c r="D151" s="8" t="n"/>
      <c r="E151" s="8" t="n"/>
      <c r="F151" s="9" t="n"/>
      <c r="G151" s="9" t="n"/>
      <c r="H151" s="8" t="n"/>
      <c r="I151" s="10">
        <f>IF(OR(F151&lt;&gt;"",G151&lt;&gt;""),ROUND(N(F151)+N(G151),2),"")</f>
        <v/>
      </c>
      <c r="J151" s="10">
        <f>IF(I151="","",IF(D151="Sostituto d'imposta",ROUND(I151*Parametri!$B$2,2),0))</f>
        <v/>
      </c>
      <c r="K151" s="11">
        <f>IF(I151="","",IF(I151&gt;Parametri!$B$4,"Si","No"))</f>
        <v/>
      </c>
      <c r="L151" s="10">
        <f>IF(I151="","",I151-J151+IF(AND(K151="Si",H151="Si"),Parametri!$B$3,0))</f>
        <v/>
      </c>
      <c r="M151" s="7" t="n"/>
      <c r="N151" s="9" t="n"/>
      <c r="O151" s="10">
        <f>IF(L151="","",ROUND(L151-N(N151),2))</f>
        <v/>
      </c>
      <c r="P151" s="8" t="n"/>
      <c r="Q151" s="8" t="n"/>
      <c r="R151" s="11">
        <f>IF(I151="","",IF(M151&lt;&gt;"",YEAR(M151),IF(A151&lt;&gt;"",YEAR(A151),"")))</f>
        <v/>
      </c>
      <c r="S151" s="11">
        <f>IF(I151="","",IF(M151&lt;&gt;"",MONTH(M151),IF(A151&lt;&gt;"",MONTH(A151),"")))</f>
        <v/>
      </c>
    </row>
    <row r="152">
      <c r="A152" s="7" t="n"/>
      <c r="B152" s="8" t="n"/>
      <c r="C152" s="8" t="n"/>
      <c r="D152" s="8" t="n"/>
      <c r="E152" s="8" t="n"/>
      <c r="F152" s="9" t="n"/>
      <c r="G152" s="9" t="n"/>
      <c r="H152" s="8" t="n"/>
      <c r="I152" s="10">
        <f>IF(OR(F152&lt;&gt;"",G152&lt;&gt;""),ROUND(N(F152)+N(G152),2),"")</f>
        <v/>
      </c>
      <c r="J152" s="10">
        <f>IF(I152="","",IF(D152="Sostituto d'imposta",ROUND(I152*Parametri!$B$2,2),0))</f>
        <v/>
      </c>
      <c r="K152" s="11">
        <f>IF(I152="","",IF(I152&gt;Parametri!$B$4,"Si","No"))</f>
        <v/>
      </c>
      <c r="L152" s="10">
        <f>IF(I152="","",I152-J152+IF(AND(K152="Si",H152="Si"),Parametri!$B$3,0))</f>
        <v/>
      </c>
      <c r="M152" s="7" t="n"/>
      <c r="N152" s="9" t="n"/>
      <c r="O152" s="10">
        <f>IF(L152="","",ROUND(L152-N(N152),2))</f>
        <v/>
      </c>
      <c r="P152" s="8" t="n"/>
      <c r="Q152" s="8" t="n"/>
      <c r="R152" s="11">
        <f>IF(I152="","",IF(M152&lt;&gt;"",YEAR(M152),IF(A152&lt;&gt;"",YEAR(A152),"")))</f>
        <v/>
      </c>
      <c r="S152" s="11">
        <f>IF(I152="","",IF(M152&lt;&gt;"",MONTH(M152),IF(A152&lt;&gt;"",MONTH(A152),"")))</f>
        <v/>
      </c>
    </row>
    <row r="153">
      <c r="A153" s="7" t="n"/>
      <c r="B153" s="8" t="n"/>
      <c r="C153" s="8" t="n"/>
      <c r="D153" s="8" t="n"/>
      <c r="E153" s="8" t="n"/>
      <c r="F153" s="9" t="n"/>
      <c r="G153" s="9" t="n"/>
      <c r="H153" s="8" t="n"/>
      <c r="I153" s="10">
        <f>IF(OR(F153&lt;&gt;"",G153&lt;&gt;""),ROUND(N(F153)+N(G153),2),"")</f>
        <v/>
      </c>
      <c r="J153" s="10">
        <f>IF(I153="","",IF(D153="Sostituto d'imposta",ROUND(I153*Parametri!$B$2,2),0))</f>
        <v/>
      </c>
      <c r="K153" s="11">
        <f>IF(I153="","",IF(I153&gt;Parametri!$B$4,"Si","No"))</f>
        <v/>
      </c>
      <c r="L153" s="10">
        <f>IF(I153="","",I153-J153+IF(AND(K153="Si",H153="Si"),Parametri!$B$3,0))</f>
        <v/>
      </c>
      <c r="M153" s="7" t="n"/>
      <c r="N153" s="9" t="n"/>
      <c r="O153" s="10">
        <f>IF(L153="","",ROUND(L153-N(N153),2))</f>
        <v/>
      </c>
      <c r="P153" s="8" t="n"/>
      <c r="Q153" s="8" t="n"/>
      <c r="R153" s="11">
        <f>IF(I153="","",IF(M153&lt;&gt;"",YEAR(M153),IF(A153&lt;&gt;"",YEAR(A153),"")))</f>
        <v/>
      </c>
      <c r="S153" s="11">
        <f>IF(I153="","",IF(M153&lt;&gt;"",MONTH(M153),IF(A153&lt;&gt;"",MONTH(A153),"")))</f>
        <v/>
      </c>
    </row>
    <row r="154">
      <c r="A154" s="7" t="n"/>
      <c r="B154" s="8" t="n"/>
      <c r="C154" s="8" t="n"/>
      <c r="D154" s="8" t="n"/>
      <c r="E154" s="8" t="n"/>
      <c r="F154" s="9" t="n"/>
      <c r="G154" s="9" t="n"/>
      <c r="H154" s="8" t="n"/>
      <c r="I154" s="10">
        <f>IF(OR(F154&lt;&gt;"",G154&lt;&gt;""),ROUND(N(F154)+N(G154),2),"")</f>
        <v/>
      </c>
      <c r="J154" s="10">
        <f>IF(I154="","",IF(D154="Sostituto d'imposta",ROUND(I154*Parametri!$B$2,2),0))</f>
        <v/>
      </c>
      <c r="K154" s="11">
        <f>IF(I154="","",IF(I154&gt;Parametri!$B$4,"Si","No"))</f>
        <v/>
      </c>
      <c r="L154" s="10">
        <f>IF(I154="","",I154-J154+IF(AND(K154="Si",H154="Si"),Parametri!$B$3,0))</f>
        <v/>
      </c>
      <c r="M154" s="7" t="n"/>
      <c r="N154" s="9" t="n"/>
      <c r="O154" s="10">
        <f>IF(L154="","",ROUND(L154-N(N154),2))</f>
        <v/>
      </c>
      <c r="P154" s="8" t="n"/>
      <c r="Q154" s="8" t="n"/>
      <c r="R154" s="11">
        <f>IF(I154="","",IF(M154&lt;&gt;"",YEAR(M154),IF(A154&lt;&gt;"",YEAR(A154),"")))</f>
        <v/>
      </c>
      <c r="S154" s="11">
        <f>IF(I154="","",IF(M154&lt;&gt;"",MONTH(M154),IF(A154&lt;&gt;"",MONTH(A154),"")))</f>
        <v/>
      </c>
    </row>
    <row r="155">
      <c r="A155" s="7" t="n"/>
      <c r="B155" s="8" t="n"/>
      <c r="C155" s="8" t="n"/>
      <c r="D155" s="8" t="n"/>
      <c r="E155" s="8" t="n"/>
      <c r="F155" s="9" t="n"/>
      <c r="G155" s="9" t="n"/>
      <c r="H155" s="8" t="n"/>
      <c r="I155" s="10">
        <f>IF(OR(F155&lt;&gt;"",G155&lt;&gt;""),ROUND(N(F155)+N(G155),2),"")</f>
        <v/>
      </c>
      <c r="J155" s="10">
        <f>IF(I155="","",IF(D155="Sostituto d'imposta",ROUND(I155*Parametri!$B$2,2),0))</f>
        <v/>
      </c>
      <c r="K155" s="11">
        <f>IF(I155="","",IF(I155&gt;Parametri!$B$4,"Si","No"))</f>
        <v/>
      </c>
      <c r="L155" s="10">
        <f>IF(I155="","",I155-J155+IF(AND(K155="Si",H155="Si"),Parametri!$B$3,0))</f>
        <v/>
      </c>
      <c r="M155" s="7" t="n"/>
      <c r="N155" s="9" t="n"/>
      <c r="O155" s="10">
        <f>IF(L155="","",ROUND(L155-N(N155),2))</f>
        <v/>
      </c>
      <c r="P155" s="8" t="n"/>
      <c r="Q155" s="8" t="n"/>
      <c r="R155" s="11">
        <f>IF(I155="","",IF(M155&lt;&gt;"",YEAR(M155),IF(A155&lt;&gt;"",YEAR(A155),"")))</f>
        <v/>
      </c>
      <c r="S155" s="11">
        <f>IF(I155="","",IF(M155&lt;&gt;"",MONTH(M155),IF(A155&lt;&gt;"",MONTH(A155),"")))</f>
        <v/>
      </c>
    </row>
    <row r="156">
      <c r="A156" s="7" t="n"/>
      <c r="B156" s="8" t="n"/>
      <c r="C156" s="8" t="n"/>
      <c r="D156" s="8" t="n"/>
      <c r="E156" s="8" t="n"/>
      <c r="F156" s="9" t="n"/>
      <c r="G156" s="9" t="n"/>
      <c r="H156" s="8" t="n"/>
      <c r="I156" s="10">
        <f>IF(OR(F156&lt;&gt;"",G156&lt;&gt;""),ROUND(N(F156)+N(G156),2),"")</f>
        <v/>
      </c>
      <c r="J156" s="10">
        <f>IF(I156="","",IF(D156="Sostituto d'imposta",ROUND(I156*Parametri!$B$2,2),0))</f>
        <v/>
      </c>
      <c r="K156" s="11">
        <f>IF(I156="","",IF(I156&gt;Parametri!$B$4,"Si","No"))</f>
        <v/>
      </c>
      <c r="L156" s="10">
        <f>IF(I156="","",I156-J156+IF(AND(K156="Si",H156="Si"),Parametri!$B$3,0))</f>
        <v/>
      </c>
      <c r="M156" s="7" t="n"/>
      <c r="N156" s="9" t="n"/>
      <c r="O156" s="10">
        <f>IF(L156="","",ROUND(L156-N(N156),2))</f>
        <v/>
      </c>
      <c r="P156" s="8" t="n"/>
      <c r="Q156" s="8" t="n"/>
      <c r="R156" s="11">
        <f>IF(I156="","",IF(M156&lt;&gt;"",YEAR(M156),IF(A156&lt;&gt;"",YEAR(A156),"")))</f>
        <v/>
      </c>
      <c r="S156" s="11">
        <f>IF(I156="","",IF(M156&lt;&gt;"",MONTH(M156),IF(A156&lt;&gt;"",MONTH(A156),"")))</f>
        <v/>
      </c>
    </row>
    <row r="157">
      <c r="A157" s="7" t="n"/>
      <c r="B157" s="8" t="n"/>
      <c r="C157" s="8" t="n"/>
      <c r="D157" s="8" t="n"/>
      <c r="E157" s="8" t="n"/>
      <c r="F157" s="9" t="n"/>
      <c r="G157" s="9" t="n"/>
      <c r="H157" s="8" t="n"/>
      <c r="I157" s="10">
        <f>IF(OR(F157&lt;&gt;"",G157&lt;&gt;""),ROUND(N(F157)+N(G157),2),"")</f>
        <v/>
      </c>
      <c r="J157" s="10">
        <f>IF(I157="","",IF(D157="Sostituto d'imposta",ROUND(I157*Parametri!$B$2,2),0))</f>
        <v/>
      </c>
      <c r="K157" s="11">
        <f>IF(I157="","",IF(I157&gt;Parametri!$B$4,"Si","No"))</f>
        <v/>
      </c>
      <c r="L157" s="10">
        <f>IF(I157="","",I157-J157+IF(AND(K157="Si",H157="Si"),Parametri!$B$3,0))</f>
        <v/>
      </c>
      <c r="M157" s="7" t="n"/>
      <c r="N157" s="9" t="n"/>
      <c r="O157" s="10">
        <f>IF(L157="","",ROUND(L157-N(N157),2))</f>
        <v/>
      </c>
      <c r="P157" s="8" t="n"/>
      <c r="Q157" s="8" t="n"/>
      <c r="R157" s="11">
        <f>IF(I157="","",IF(M157&lt;&gt;"",YEAR(M157),IF(A157&lt;&gt;"",YEAR(A157),"")))</f>
        <v/>
      </c>
      <c r="S157" s="11">
        <f>IF(I157="","",IF(M157&lt;&gt;"",MONTH(M157),IF(A157&lt;&gt;"",MONTH(A157),"")))</f>
        <v/>
      </c>
    </row>
    <row r="158">
      <c r="A158" s="7" t="n"/>
      <c r="B158" s="8" t="n"/>
      <c r="C158" s="8" t="n"/>
      <c r="D158" s="8" t="n"/>
      <c r="E158" s="8" t="n"/>
      <c r="F158" s="9" t="n"/>
      <c r="G158" s="9" t="n"/>
      <c r="H158" s="8" t="n"/>
      <c r="I158" s="10">
        <f>IF(OR(F158&lt;&gt;"",G158&lt;&gt;""),ROUND(N(F158)+N(G158),2),"")</f>
        <v/>
      </c>
      <c r="J158" s="10">
        <f>IF(I158="","",IF(D158="Sostituto d'imposta",ROUND(I158*Parametri!$B$2,2),0))</f>
        <v/>
      </c>
      <c r="K158" s="11">
        <f>IF(I158="","",IF(I158&gt;Parametri!$B$4,"Si","No"))</f>
        <v/>
      </c>
      <c r="L158" s="10">
        <f>IF(I158="","",I158-J158+IF(AND(K158="Si",H158="Si"),Parametri!$B$3,0))</f>
        <v/>
      </c>
      <c r="M158" s="7" t="n"/>
      <c r="N158" s="9" t="n"/>
      <c r="O158" s="10">
        <f>IF(L158="","",ROUND(L158-N(N158),2))</f>
        <v/>
      </c>
      <c r="P158" s="8" t="n"/>
      <c r="Q158" s="8" t="n"/>
      <c r="R158" s="11">
        <f>IF(I158="","",IF(M158&lt;&gt;"",YEAR(M158),IF(A158&lt;&gt;"",YEAR(A158),"")))</f>
        <v/>
      </c>
      <c r="S158" s="11">
        <f>IF(I158="","",IF(M158&lt;&gt;"",MONTH(M158),IF(A158&lt;&gt;"",MONTH(A158),"")))</f>
        <v/>
      </c>
    </row>
    <row r="159">
      <c r="A159" s="7" t="n"/>
      <c r="B159" s="8" t="n"/>
      <c r="C159" s="8" t="n"/>
      <c r="D159" s="8" t="n"/>
      <c r="E159" s="8" t="n"/>
      <c r="F159" s="9" t="n"/>
      <c r="G159" s="9" t="n"/>
      <c r="H159" s="8" t="n"/>
      <c r="I159" s="10">
        <f>IF(OR(F159&lt;&gt;"",G159&lt;&gt;""),ROUND(N(F159)+N(G159),2),"")</f>
        <v/>
      </c>
      <c r="J159" s="10">
        <f>IF(I159="","",IF(D159="Sostituto d'imposta",ROUND(I159*Parametri!$B$2,2),0))</f>
        <v/>
      </c>
      <c r="K159" s="11">
        <f>IF(I159="","",IF(I159&gt;Parametri!$B$4,"Si","No"))</f>
        <v/>
      </c>
      <c r="L159" s="10">
        <f>IF(I159="","",I159-J159+IF(AND(K159="Si",H159="Si"),Parametri!$B$3,0))</f>
        <v/>
      </c>
      <c r="M159" s="7" t="n"/>
      <c r="N159" s="9" t="n"/>
      <c r="O159" s="10">
        <f>IF(L159="","",ROUND(L159-N(N159),2))</f>
        <v/>
      </c>
      <c r="P159" s="8" t="n"/>
      <c r="Q159" s="8" t="n"/>
      <c r="R159" s="11">
        <f>IF(I159="","",IF(M159&lt;&gt;"",YEAR(M159),IF(A159&lt;&gt;"",YEAR(A159),"")))</f>
        <v/>
      </c>
      <c r="S159" s="11">
        <f>IF(I159="","",IF(M159&lt;&gt;"",MONTH(M159),IF(A159&lt;&gt;"",MONTH(A159),"")))</f>
        <v/>
      </c>
    </row>
    <row r="160">
      <c r="A160" s="7" t="n"/>
      <c r="B160" s="8" t="n"/>
      <c r="C160" s="8" t="n"/>
      <c r="D160" s="8" t="n"/>
      <c r="E160" s="8" t="n"/>
      <c r="F160" s="9" t="n"/>
      <c r="G160" s="9" t="n"/>
      <c r="H160" s="8" t="n"/>
      <c r="I160" s="10">
        <f>IF(OR(F160&lt;&gt;"",G160&lt;&gt;""),ROUND(N(F160)+N(G160),2),"")</f>
        <v/>
      </c>
      <c r="J160" s="10">
        <f>IF(I160="","",IF(D160="Sostituto d'imposta",ROUND(I160*Parametri!$B$2,2),0))</f>
        <v/>
      </c>
      <c r="K160" s="11">
        <f>IF(I160="","",IF(I160&gt;Parametri!$B$4,"Si","No"))</f>
        <v/>
      </c>
      <c r="L160" s="10">
        <f>IF(I160="","",I160-J160+IF(AND(K160="Si",H160="Si"),Parametri!$B$3,0))</f>
        <v/>
      </c>
      <c r="M160" s="7" t="n"/>
      <c r="N160" s="9" t="n"/>
      <c r="O160" s="10">
        <f>IF(L160="","",ROUND(L160-N(N160),2))</f>
        <v/>
      </c>
      <c r="P160" s="8" t="n"/>
      <c r="Q160" s="8" t="n"/>
      <c r="R160" s="11">
        <f>IF(I160="","",IF(M160&lt;&gt;"",YEAR(M160),IF(A160&lt;&gt;"",YEAR(A160),"")))</f>
        <v/>
      </c>
      <c r="S160" s="11">
        <f>IF(I160="","",IF(M160&lt;&gt;"",MONTH(M160),IF(A160&lt;&gt;"",MONTH(A160),"")))</f>
        <v/>
      </c>
    </row>
    <row r="161">
      <c r="A161" s="7" t="n"/>
      <c r="B161" s="8" t="n"/>
      <c r="C161" s="8" t="n"/>
      <c r="D161" s="8" t="n"/>
      <c r="E161" s="8" t="n"/>
      <c r="F161" s="9" t="n"/>
      <c r="G161" s="9" t="n"/>
      <c r="H161" s="8" t="n"/>
      <c r="I161" s="10">
        <f>IF(OR(F161&lt;&gt;"",G161&lt;&gt;""),ROUND(N(F161)+N(G161),2),"")</f>
        <v/>
      </c>
      <c r="J161" s="10">
        <f>IF(I161="","",IF(D161="Sostituto d'imposta",ROUND(I161*Parametri!$B$2,2),0))</f>
        <v/>
      </c>
      <c r="K161" s="11">
        <f>IF(I161="","",IF(I161&gt;Parametri!$B$4,"Si","No"))</f>
        <v/>
      </c>
      <c r="L161" s="10">
        <f>IF(I161="","",I161-J161+IF(AND(K161="Si",H161="Si"),Parametri!$B$3,0))</f>
        <v/>
      </c>
      <c r="M161" s="7" t="n"/>
      <c r="N161" s="9" t="n"/>
      <c r="O161" s="10">
        <f>IF(L161="","",ROUND(L161-N(N161),2))</f>
        <v/>
      </c>
      <c r="P161" s="8" t="n"/>
      <c r="Q161" s="8" t="n"/>
      <c r="R161" s="11">
        <f>IF(I161="","",IF(M161&lt;&gt;"",YEAR(M161),IF(A161&lt;&gt;"",YEAR(A161),"")))</f>
        <v/>
      </c>
      <c r="S161" s="11">
        <f>IF(I161="","",IF(M161&lt;&gt;"",MONTH(M161),IF(A161&lt;&gt;"",MONTH(A161),"")))</f>
        <v/>
      </c>
    </row>
    <row r="162">
      <c r="A162" s="7" t="n"/>
      <c r="B162" s="8" t="n"/>
      <c r="C162" s="8" t="n"/>
      <c r="D162" s="8" t="n"/>
      <c r="E162" s="8" t="n"/>
      <c r="F162" s="9" t="n"/>
      <c r="G162" s="9" t="n"/>
      <c r="H162" s="8" t="n"/>
      <c r="I162" s="10">
        <f>IF(OR(F162&lt;&gt;"",G162&lt;&gt;""),ROUND(N(F162)+N(G162),2),"")</f>
        <v/>
      </c>
      <c r="J162" s="10">
        <f>IF(I162="","",IF(D162="Sostituto d'imposta",ROUND(I162*Parametri!$B$2,2),0))</f>
        <v/>
      </c>
      <c r="K162" s="11">
        <f>IF(I162="","",IF(I162&gt;Parametri!$B$4,"Si","No"))</f>
        <v/>
      </c>
      <c r="L162" s="10">
        <f>IF(I162="","",I162-J162+IF(AND(K162="Si",H162="Si"),Parametri!$B$3,0))</f>
        <v/>
      </c>
      <c r="M162" s="7" t="n"/>
      <c r="N162" s="9" t="n"/>
      <c r="O162" s="10">
        <f>IF(L162="","",ROUND(L162-N(N162),2))</f>
        <v/>
      </c>
      <c r="P162" s="8" t="n"/>
      <c r="Q162" s="8" t="n"/>
      <c r="R162" s="11">
        <f>IF(I162="","",IF(M162&lt;&gt;"",YEAR(M162),IF(A162&lt;&gt;"",YEAR(A162),"")))</f>
        <v/>
      </c>
      <c r="S162" s="11">
        <f>IF(I162="","",IF(M162&lt;&gt;"",MONTH(M162),IF(A162&lt;&gt;"",MONTH(A162),"")))</f>
        <v/>
      </c>
    </row>
    <row r="163">
      <c r="A163" s="7" t="n"/>
      <c r="B163" s="8" t="n"/>
      <c r="C163" s="8" t="n"/>
      <c r="D163" s="8" t="n"/>
      <c r="E163" s="8" t="n"/>
      <c r="F163" s="9" t="n"/>
      <c r="G163" s="9" t="n"/>
      <c r="H163" s="8" t="n"/>
      <c r="I163" s="10">
        <f>IF(OR(F163&lt;&gt;"",G163&lt;&gt;""),ROUND(N(F163)+N(G163),2),"")</f>
        <v/>
      </c>
      <c r="J163" s="10">
        <f>IF(I163="","",IF(D163="Sostituto d'imposta",ROUND(I163*Parametri!$B$2,2),0))</f>
        <v/>
      </c>
      <c r="K163" s="11">
        <f>IF(I163="","",IF(I163&gt;Parametri!$B$4,"Si","No"))</f>
        <v/>
      </c>
      <c r="L163" s="10">
        <f>IF(I163="","",I163-J163+IF(AND(K163="Si",H163="Si"),Parametri!$B$3,0))</f>
        <v/>
      </c>
      <c r="M163" s="7" t="n"/>
      <c r="N163" s="9" t="n"/>
      <c r="O163" s="10">
        <f>IF(L163="","",ROUND(L163-N(N163),2))</f>
        <v/>
      </c>
      <c r="P163" s="8" t="n"/>
      <c r="Q163" s="8" t="n"/>
      <c r="R163" s="11">
        <f>IF(I163="","",IF(M163&lt;&gt;"",YEAR(M163),IF(A163&lt;&gt;"",YEAR(A163),"")))</f>
        <v/>
      </c>
      <c r="S163" s="11">
        <f>IF(I163="","",IF(M163&lt;&gt;"",MONTH(M163),IF(A163&lt;&gt;"",MONTH(A163),"")))</f>
        <v/>
      </c>
    </row>
    <row r="164">
      <c r="A164" s="7" t="n"/>
      <c r="B164" s="8" t="n"/>
      <c r="C164" s="8" t="n"/>
      <c r="D164" s="8" t="n"/>
      <c r="E164" s="8" t="n"/>
      <c r="F164" s="9" t="n"/>
      <c r="G164" s="9" t="n"/>
      <c r="H164" s="8" t="n"/>
      <c r="I164" s="10">
        <f>IF(OR(F164&lt;&gt;"",G164&lt;&gt;""),ROUND(N(F164)+N(G164),2),"")</f>
        <v/>
      </c>
      <c r="J164" s="10">
        <f>IF(I164="","",IF(D164="Sostituto d'imposta",ROUND(I164*Parametri!$B$2,2),0))</f>
        <v/>
      </c>
      <c r="K164" s="11">
        <f>IF(I164="","",IF(I164&gt;Parametri!$B$4,"Si","No"))</f>
        <v/>
      </c>
      <c r="L164" s="10">
        <f>IF(I164="","",I164-J164+IF(AND(K164="Si",H164="Si"),Parametri!$B$3,0))</f>
        <v/>
      </c>
      <c r="M164" s="7" t="n"/>
      <c r="N164" s="9" t="n"/>
      <c r="O164" s="10">
        <f>IF(L164="","",ROUND(L164-N(N164),2))</f>
        <v/>
      </c>
      <c r="P164" s="8" t="n"/>
      <c r="Q164" s="8" t="n"/>
      <c r="R164" s="11">
        <f>IF(I164="","",IF(M164&lt;&gt;"",YEAR(M164),IF(A164&lt;&gt;"",YEAR(A164),"")))</f>
        <v/>
      </c>
      <c r="S164" s="11">
        <f>IF(I164="","",IF(M164&lt;&gt;"",MONTH(M164),IF(A164&lt;&gt;"",MONTH(A164),"")))</f>
        <v/>
      </c>
    </row>
    <row r="165">
      <c r="A165" s="7" t="n"/>
      <c r="B165" s="8" t="n"/>
      <c r="C165" s="8" t="n"/>
      <c r="D165" s="8" t="n"/>
      <c r="E165" s="8" t="n"/>
      <c r="F165" s="9" t="n"/>
      <c r="G165" s="9" t="n"/>
      <c r="H165" s="8" t="n"/>
      <c r="I165" s="10">
        <f>IF(OR(F165&lt;&gt;"",G165&lt;&gt;""),ROUND(N(F165)+N(G165),2),"")</f>
        <v/>
      </c>
      <c r="J165" s="10">
        <f>IF(I165="","",IF(D165="Sostituto d'imposta",ROUND(I165*Parametri!$B$2,2),0))</f>
        <v/>
      </c>
      <c r="K165" s="11">
        <f>IF(I165="","",IF(I165&gt;Parametri!$B$4,"Si","No"))</f>
        <v/>
      </c>
      <c r="L165" s="10">
        <f>IF(I165="","",I165-J165+IF(AND(K165="Si",H165="Si"),Parametri!$B$3,0))</f>
        <v/>
      </c>
      <c r="M165" s="7" t="n"/>
      <c r="N165" s="9" t="n"/>
      <c r="O165" s="10">
        <f>IF(L165="","",ROUND(L165-N(N165),2))</f>
        <v/>
      </c>
      <c r="P165" s="8" t="n"/>
      <c r="Q165" s="8" t="n"/>
      <c r="R165" s="11">
        <f>IF(I165="","",IF(M165&lt;&gt;"",YEAR(M165),IF(A165&lt;&gt;"",YEAR(A165),"")))</f>
        <v/>
      </c>
      <c r="S165" s="11">
        <f>IF(I165="","",IF(M165&lt;&gt;"",MONTH(M165),IF(A165&lt;&gt;"",MONTH(A165),"")))</f>
        <v/>
      </c>
    </row>
    <row r="166">
      <c r="A166" s="7" t="n"/>
      <c r="B166" s="8" t="n"/>
      <c r="C166" s="8" t="n"/>
      <c r="D166" s="8" t="n"/>
      <c r="E166" s="8" t="n"/>
      <c r="F166" s="9" t="n"/>
      <c r="G166" s="9" t="n"/>
      <c r="H166" s="8" t="n"/>
      <c r="I166" s="10">
        <f>IF(OR(F166&lt;&gt;"",G166&lt;&gt;""),ROUND(N(F166)+N(G166),2),"")</f>
        <v/>
      </c>
      <c r="J166" s="10">
        <f>IF(I166="","",IF(D166="Sostituto d'imposta",ROUND(I166*Parametri!$B$2,2),0))</f>
        <v/>
      </c>
      <c r="K166" s="11">
        <f>IF(I166="","",IF(I166&gt;Parametri!$B$4,"Si","No"))</f>
        <v/>
      </c>
      <c r="L166" s="10">
        <f>IF(I166="","",I166-J166+IF(AND(K166="Si",H166="Si"),Parametri!$B$3,0))</f>
        <v/>
      </c>
      <c r="M166" s="7" t="n"/>
      <c r="N166" s="9" t="n"/>
      <c r="O166" s="10">
        <f>IF(L166="","",ROUND(L166-N(N166),2))</f>
        <v/>
      </c>
      <c r="P166" s="8" t="n"/>
      <c r="Q166" s="8" t="n"/>
      <c r="R166" s="11">
        <f>IF(I166="","",IF(M166&lt;&gt;"",YEAR(M166),IF(A166&lt;&gt;"",YEAR(A166),"")))</f>
        <v/>
      </c>
      <c r="S166" s="11">
        <f>IF(I166="","",IF(M166&lt;&gt;"",MONTH(M166),IF(A166&lt;&gt;"",MONTH(A166),"")))</f>
        <v/>
      </c>
    </row>
    <row r="167">
      <c r="A167" s="7" t="n"/>
      <c r="B167" s="8" t="n"/>
      <c r="C167" s="8" t="n"/>
      <c r="D167" s="8" t="n"/>
      <c r="E167" s="8" t="n"/>
      <c r="F167" s="9" t="n"/>
      <c r="G167" s="9" t="n"/>
      <c r="H167" s="8" t="n"/>
      <c r="I167" s="10">
        <f>IF(OR(F167&lt;&gt;"",G167&lt;&gt;""),ROUND(N(F167)+N(G167),2),"")</f>
        <v/>
      </c>
      <c r="J167" s="10">
        <f>IF(I167="","",IF(D167="Sostituto d'imposta",ROUND(I167*Parametri!$B$2,2),0))</f>
        <v/>
      </c>
      <c r="K167" s="11">
        <f>IF(I167="","",IF(I167&gt;Parametri!$B$4,"Si","No"))</f>
        <v/>
      </c>
      <c r="L167" s="10">
        <f>IF(I167="","",I167-J167+IF(AND(K167="Si",H167="Si"),Parametri!$B$3,0))</f>
        <v/>
      </c>
      <c r="M167" s="7" t="n"/>
      <c r="N167" s="9" t="n"/>
      <c r="O167" s="10">
        <f>IF(L167="","",ROUND(L167-N(N167),2))</f>
        <v/>
      </c>
      <c r="P167" s="8" t="n"/>
      <c r="Q167" s="8" t="n"/>
      <c r="R167" s="11">
        <f>IF(I167="","",IF(M167&lt;&gt;"",YEAR(M167),IF(A167&lt;&gt;"",YEAR(A167),"")))</f>
        <v/>
      </c>
      <c r="S167" s="11">
        <f>IF(I167="","",IF(M167&lt;&gt;"",MONTH(M167),IF(A167&lt;&gt;"",MONTH(A167),"")))</f>
        <v/>
      </c>
    </row>
    <row r="168">
      <c r="A168" s="7" t="n"/>
      <c r="B168" s="8" t="n"/>
      <c r="C168" s="8" t="n"/>
      <c r="D168" s="8" t="n"/>
      <c r="E168" s="8" t="n"/>
      <c r="F168" s="9" t="n"/>
      <c r="G168" s="9" t="n"/>
      <c r="H168" s="8" t="n"/>
      <c r="I168" s="10">
        <f>IF(OR(F168&lt;&gt;"",G168&lt;&gt;""),ROUND(N(F168)+N(G168),2),"")</f>
        <v/>
      </c>
      <c r="J168" s="10">
        <f>IF(I168="","",IF(D168="Sostituto d'imposta",ROUND(I168*Parametri!$B$2,2),0))</f>
        <v/>
      </c>
      <c r="K168" s="11">
        <f>IF(I168="","",IF(I168&gt;Parametri!$B$4,"Si","No"))</f>
        <v/>
      </c>
      <c r="L168" s="10">
        <f>IF(I168="","",I168-J168+IF(AND(K168="Si",H168="Si"),Parametri!$B$3,0))</f>
        <v/>
      </c>
      <c r="M168" s="7" t="n"/>
      <c r="N168" s="9" t="n"/>
      <c r="O168" s="10">
        <f>IF(L168="","",ROUND(L168-N(N168),2))</f>
        <v/>
      </c>
      <c r="P168" s="8" t="n"/>
      <c r="Q168" s="8" t="n"/>
      <c r="R168" s="11">
        <f>IF(I168="","",IF(M168&lt;&gt;"",YEAR(M168),IF(A168&lt;&gt;"",YEAR(A168),"")))</f>
        <v/>
      </c>
      <c r="S168" s="11">
        <f>IF(I168="","",IF(M168&lt;&gt;"",MONTH(M168),IF(A168&lt;&gt;"",MONTH(A168),"")))</f>
        <v/>
      </c>
    </row>
    <row r="169">
      <c r="A169" s="7" t="n"/>
      <c r="B169" s="8" t="n"/>
      <c r="C169" s="8" t="n"/>
      <c r="D169" s="8" t="n"/>
      <c r="E169" s="8" t="n"/>
      <c r="F169" s="9" t="n"/>
      <c r="G169" s="9" t="n"/>
      <c r="H169" s="8" t="n"/>
      <c r="I169" s="10">
        <f>IF(OR(F169&lt;&gt;"",G169&lt;&gt;""),ROUND(N(F169)+N(G169),2),"")</f>
        <v/>
      </c>
      <c r="J169" s="10">
        <f>IF(I169="","",IF(D169="Sostituto d'imposta",ROUND(I169*Parametri!$B$2,2),0))</f>
        <v/>
      </c>
      <c r="K169" s="11">
        <f>IF(I169="","",IF(I169&gt;Parametri!$B$4,"Si","No"))</f>
        <v/>
      </c>
      <c r="L169" s="10">
        <f>IF(I169="","",I169-J169+IF(AND(K169="Si",H169="Si"),Parametri!$B$3,0))</f>
        <v/>
      </c>
      <c r="M169" s="7" t="n"/>
      <c r="N169" s="9" t="n"/>
      <c r="O169" s="10">
        <f>IF(L169="","",ROUND(L169-N(N169),2))</f>
        <v/>
      </c>
      <c r="P169" s="8" t="n"/>
      <c r="Q169" s="8" t="n"/>
      <c r="R169" s="11">
        <f>IF(I169="","",IF(M169&lt;&gt;"",YEAR(M169),IF(A169&lt;&gt;"",YEAR(A169),"")))</f>
        <v/>
      </c>
      <c r="S169" s="11">
        <f>IF(I169="","",IF(M169&lt;&gt;"",MONTH(M169),IF(A169&lt;&gt;"",MONTH(A169),"")))</f>
        <v/>
      </c>
    </row>
    <row r="170">
      <c r="A170" s="7" t="n"/>
      <c r="B170" s="8" t="n"/>
      <c r="C170" s="8" t="n"/>
      <c r="D170" s="8" t="n"/>
      <c r="E170" s="8" t="n"/>
      <c r="F170" s="9" t="n"/>
      <c r="G170" s="9" t="n"/>
      <c r="H170" s="8" t="n"/>
      <c r="I170" s="10">
        <f>IF(OR(F170&lt;&gt;"",G170&lt;&gt;""),ROUND(N(F170)+N(G170),2),"")</f>
        <v/>
      </c>
      <c r="J170" s="10">
        <f>IF(I170="","",IF(D170="Sostituto d'imposta",ROUND(I170*Parametri!$B$2,2),0))</f>
        <v/>
      </c>
      <c r="K170" s="11">
        <f>IF(I170="","",IF(I170&gt;Parametri!$B$4,"Si","No"))</f>
        <v/>
      </c>
      <c r="L170" s="10">
        <f>IF(I170="","",I170-J170+IF(AND(K170="Si",H170="Si"),Parametri!$B$3,0))</f>
        <v/>
      </c>
      <c r="M170" s="7" t="n"/>
      <c r="N170" s="9" t="n"/>
      <c r="O170" s="10">
        <f>IF(L170="","",ROUND(L170-N(N170),2))</f>
        <v/>
      </c>
      <c r="P170" s="8" t="n"/>
      <c r="Q170" s="8" t="n"/>
      <c r="R170" s="11">
        <f>IF(I170="","",IF(M170&lt;&gt;"",YEAR(M170),IF(A170&lt;&gt;"",YEAR(A170),"")))</f>
        <v/>
      </c>
      <c r="S170" s="11">
        <f>IF(I170="","",IF(M170&lt;&gt;"",MONTH(M170),IF(A170&lt;&gt;"",MONTH(A170),"")))</f>
        <v/>
      </c>
    </row>
    <row r="171">
      <c r="A171" s="7" t="n"/>
      <c r="B171" s="8" t="n"/>
      <c r="C171" s="8" t="n"/>
      <c r="D171" s="8" t="n"/>
      <c r="E171" s="8" t="n"/>
      <c r="F171" s="9" t="n"/>
      <c r="G171" s="9" t="n"/>
      <c r="H171" s="8" t="n"/>
      <c r="I171" s="10">
        <f>IF(OR(F171&lt;&gt;"",G171&lt;&gt;""),ROUND(N(F171)+N(G171),2),"")</f>
        <v/>
      </c>
      <c r="J171" s="10">
        <f>IF(I171="","",IF(D171="Sostituto d'imposta",ROUND(I171*Parametri!$B$2,2),0))</f>
        <v/>
      </c>
      <c r="K171" s="11">
        <f>IF(I171="","",IF(I171&gt;Parametri!$B$4,"Si","No"))</f>
        <v/>
      </c>
      <c r="L171" s="10">
        <f>IF(I171="","",I171-J171+IF(AND(K171="Si",H171="Si"),Parametri!$B$3,0))</f>
        <v/>
      </c>
      <c r="M171" s="7" t="n"/>
      <c r="N171" s="9" t="n"/>
      <c r="O171" s="10">
        <f>IF(L171="","",ROUND(L171-N(N171),2))</f>
        <v/>
      </c>
      <c r="P171" s="8" t="n"/>
      <c r="Q171" s="8" t="n"/>
      <c r="R171" s="11">
        <f>IF(I171="","",IF(M171&lt;&gt;"",YEAR(M171),IF(A171&lt;&gt;"",YEAR(A171),"")))</f>
        <v/>
      </c>
      <c r="S171" s="11">
        <f>IF(I171="","",IF(M171&lt;&gt;"",MONTH(M171),IF(A171&lt;&gt;"",MONTH(A171),"")))</f>
        <v/>
      </c>
    </row>
    <row r="172">
      <c r="A172" s="7" t="n"/>
      <c r="B172" s="8" t="n"/>
      <c r="C172" s="8" t="n"/>
      <c r="D172" s="8" t="n"/>
      <c r="E172" s="8" t="n"/>
      <c r="F172" s="9" t="n"/>
      <c r="G172" s="9" t="n"/>
      <c r="H172" s="8" t="n"/>
      <c r="I172" s="10">
        <f>IF(OR(F172&lt;&gt;"",G172&lt;&gt;""),ROUND(N(F172)+N(G172),2),"")</f>
        <v/>
      </c>
      <c r="J172" s="10">
        <f>IF(I172="","",IF(D172="Sostituto d'imposta",ROUND(I172*Parametri!$B$2,2),0))</f>
        <v/>
      </c>
      <c r="K172" s="11">
        <f>IF(I172="","",IF(I172&gt;Parametri!$B$4,"Si","No"))</f>
        <v/>
      </c>
      <c r="L172" s="10">
        <f>IF(I172="","",I172-J172+IF(AND(K172="Si",H172="Si"),Parametri!$B$3,0))</f>
        <v/>
      </c>
      <c r="M172" s="7" t="n"/>
      <c r="N172" s="9" t="n"/>
      <c r="O172" s="10">
        <f>IF(L172="","",ROUND(L172-N(N172),2))</f>
        <v/>
      </c>
      <c r="P172" s="8" t="n"/>
      <c r="Q172" s="8" t="n"/>
      <c r="R172" s="11">
        <f>IF(I172="","",IF(M172&lt;&gt;"",YEAR(M172),IF(A172&lt;&gt;"",YEAR(A172),"")))</f>
        <v/>
      </c>
      <c r="S172" s="11">
        <f>IF(I172="","",IF(M172&lt;&gt;"",MONTH(M172),IF(A172&lt;&gt;"",MONTH(A172),"")))</f>
        <v/>
      </c>
    </row>
    <row r="173">
      <c r="A173" s="7" t="n"/>
      <c r="B173" s="8" t="n"/>
      <c r="C173" s="8" t="n"/>
      <c r="D173" s="8" t="n"/>
      <c r="E173" s="8" t="n"/>
      <c r="F173" s="9" t="n"/>
      <c r="G173" s="9" t="n"/>
      <c r="H173" s="8" t="n"/>
      <c r="I173" s="10">
        <f>IF(OR(F173&lt;&gt;"",G173&lt;&gt;""),ROUND(N(F173)+N(G173),2),"")</f>
        <v/>
      </c>
      <c r="J173" s="10">
        <f>IF(I173="","",IF(D173="Sostituto d'imposta",ROUND(I173*Parametri!$B$2,2),0))</f>
        <v/>
      </c>
      <c r="K173" s="11">
        <f>IF(I173="","",IF(I173&gt;Parametri!$B$4,"Si","No"))</f>
        <v/>
      </c>
      <c r="L173" s="10">
        <f>IF(I173="","",I173-J173+IF(AND(K173="Si",H173="Si"),Parametri!$B$3,0))</f>
        <v/>
      </c>
      <c r="M173" s="7" t="n"/>
      <c r="N173" s="9" t="n"/>
      <c r="O173" s="10">
        <f>IF(L173="","",ROUND(L173-N(N173),2))</f>
        <v/>
      </c>
      <c r="P173" s="8" t="n"/>
      <c r="Q173" s="8" t="n"/>
      <c r="R173" s="11">
        <f>IF(I173="","",IF(M173&lt;&gt;"",YEAR(M173),IF(A173&lt;&gt;"",YEAR(A173),"")))</f>
        <v/>
      </c>
      <c r="S173" s="11">
        <f>IF(I173="","",IF(M173&lt;&gt;"",MONTH(M173),IF(A173&lt;&gt;"",MONTH(A173),"")))</f>
        <v/>
      </c>
    </row>
    <row r="174">
      <c r="A174" s="7" t="n"/>
      <c r="B174" s="8" t="n"/>
      <c r="C174" s="8" t="n"/>
      <c r="D174" s="8" t="n"/>
      <c r="E174" s="8" t="n"/>
      <c r="F174" s="9" t="n"/>
      <c r="G174" s="9" t="n"/>
      <c r="H174" s="8" t="n"/>
      <c r="I174" s="10">
        <f>IF(OR(F174&lt;&gt;"",G174&lt;&gt;""),ROUND(N(F174)+N(G174),2),"")</f>
        <v/>
      </c>
      <c r="J174" s="10">
        <f>IF(I174="","",IF(D174="Sostituto d'imposta",ROUND(I174*Parametri!$B$2,2),0))</f>
        <v/>
      </c>
      <c r="K174" s="11">
        <f>IF(I174="","",IF(I174&gt;Parametri!$B$4,"Si","No"))</f>
        <v/>
      </c>
      <c r="L174" s="10">
        <f>IF(I174="","",I174-J174+IF(AND(K174="Si",H174="Si"),Parametri!$B$3,0))</f>
        <v/>
      </c>
      <c r="M174" s="7" t="n"/>
      <c r="N174" s="9" t="n"/>
      <c r="O174" s="10">
        <f>IF(L174="","",ROUND(L174-N(N174),2))</f>
        <v/>
      </c>
      <c r="P174" s="8" t="n"/>
      <c r="Q174" s="8" t="n"/>
      <c r="R174" s="11">
        <f>IF(I174="","",IF(M174&lt;&gt;"",YEAR(M174),IF(A174&lt;&gt;"",YEAR(A174),"")))</f>
        <v/>
      </c>
      <c r="S174" s="11">
        <f>IF(I174="","",IF(M174&lt;&gt;"",MONTH(M174),IF(A174&lt;&gt;"",MONTH(A174),"")))</f>
        <v/>
      </c>
    </row>
    <row r="175">
      <c r="A175" s="7" t="n"/>
      <c r="B175" s="8" t="n"/>
      <c r="C175" s="8" t="n"/>
      <c r="D175" s="8" t="n"/>
      <c r="E175" s="8" t="n"/>
      <c r="F175" s="9" t="n"/>
      <c r="G175" s="9" t="n"/>
      <c r="H175" s="8" t="n"/>
      <c r="I175" s="10">
        <f>IF(OR(F175&lt;&gt;"",G175&lt;&gt;""),ROUND(N(F175)+N(G175),2),"")</f>
        <v/>
      </c>
      <c r="J175" s="10">
        <f>IF(I175="","",IF(D175="Sostituto d'imposta",ROUND(I175*Parametri!$B$2,2),0))</f>
        <v/>
      </c>
      <c r="K175" s="11">
        <f>IF(I175="","",IF(I175&gt;Parametri!$B$4,"Si","No"))</f>
        <v/>
      </c>
      <c r="L175" s="10">
        <f>IF(I175="","",I175-J175+IF(AND(K175="Si",H175="Si"),Parametri!$B$3,0))</f>
        <v/>
      </c>
      <c r="M175" s="7" t="n"/>
      <c r="N175" s="9" t="n"/>
      <c r="O175" s="10">
        <f>IF(L175="","",ROUND(L175-N(N175),2))</f>
        <v/>
      </c>
      <c r="P175" s="8" t="n"/>
      <c r="Q175" s="8" t="n"/>
      <c r="R175" s="11">
        <f>IF(I175="","",IF(M175&lt;&gt;"",YEAR(M175),IF(A175&lt;&gt;"",YEAR(A175),"")))</f>
        <v/>
      </c>
      <c r="S175" s="11">
        <f>IF(I175="","",IF(M175&lt;&gt;"",MONTH(M175),IF(A175&lt;&gt;"",MONTH(A175),"")))</f>
        <v/>
      </c>
    </row>
    <row r="176">
      <c r="A176" s="7" t="n"/>
      <c r="B176" s="8" t="n"/>
      <c r="C176" s="8" t="n"/>
      <c r="D176" s="8" t="n"/>
      <c r="E176" s="8" t="n"/>
      <c r="F176" s="9" t="n"/>
      <c r="G176" s="9" t="n"/>
      <c r="H176" s="8" t="n"/>
      <c r="I176" s="10">
        <f>IF(OR(F176&lt;&gt;"",G176&lt;&gt;""),ROUND(N(F176)+N(G176),2),"")</f>
        <v/>
      </c>
      <c r="J176" s="10">
        <f>IF(I176="","",IF(D176="Sostituto d'imposta",ROUND(I176*Parametri!$B$2,2),0))</f>
        <v/>
      </c>
      <c r="K176" s="11">
        <f>IF(I176="","",IF(I176&gt;Parametri!$B$4,"Si","No"))</f>
        <v/>
      </c>
      <c r="L176" s="10">
        <f>IF(I176="","",I176-J176+IF(AND(K176="Si",H176="Si"),Parametri!$B$3,0))</f>
        <v/>
      </c>
      <c r="M176" s="7" t="n"/>
      <c r="N176" s="9" t="n"/>
      <c r="O176" s="10">
        <f>IF(L176="","",ROUND(L176-N(N176),2))</f>
        <v/>
      </c>
      <c r="P176" s="8" t="n"/>
      <c r="Q176" s="8" t="n"/>
      <c r="R176" s="11">
        <f>IF(I176="","",IF(M176&lt;&gt;"",YEAR(M176),IF(A176&lt;&gt;"",YEAR(A176),"")))</f>
        <v/>
      </c>
      <c r="S176" s="11">
        <f>IF(I176="","",IF(M176&lt;&gt;"",MONTH(M176),IF(A176&lt;&gt;"",MONTH(A176),"")))</f>
        <v/>
      </c>
    </row>
    <row r="177">
      <c r="A177" s="7" t="n"/>
      <c r="B177" s="8" t="n"/>
      <c r="C177" s="8" t="n"/>
      <c r="D177" s="8" t="n"/>
      <c r="E177" s="8" t="n"/>
      <c r="F177" s="9" t="n"/>
      <c r="G177" s="9" t="n"/>
      <c r="H177" s="8" t="n"/>
      <c r="I177" s="10">
        <f>IF(OR(F177&lt;&gt;"",G177&lt;&gt;""),ROUND(N(F177)+N(G177),2),"")</f>
        <v/>
      </c>
      <c r="J177" s="10">
        <f>IF(I177="","",IF(D177="Sostituto d'imposta",ROUND(I177*Parametri!$B$2,2),0))</f>
        <v/>
      </c>
      <c r="K177" s="11">
        <f>IF(I177="","",IF(I177&gt;Parametri!$B$4,"Si","No"))</f>
        <v/>
      </c>
      <c r="L177" s="10">
        <f>IF(I177="","",I177-J177+IF(AND(K177="Si",H177="Si"),Parametri!$B$3,0))</f>
        <v/>
      </c>
      <c r="M177" s="7" t="n"/>
      <c r="N177" s="9" t="n"/>
      <c r="O177" s="10">
        <f>IF(L177="","",ROUND(L177-N(N177),2))</f>
        <v/>
      </c>
      <c r="P177" s="8" t="n"/>
      <c r="Q177" s="8" t="n"/>
      <c r="R177" s="11">
        <f>IF(I177="","",IF(M177&lt;&gt;"",YEAR(M177),IF(A177&lt;&gt;"",YEAR(A177),"")))</f>
        <v/>
      </c>
      <c r="S177" s="11">
        <f>IF(I177="","",IF(M177&lt;&gt;"",MONTH(M177),IF(A177&lt;&gt;"",MONTH(A177),"")))</f>
        <v/>
      </c>
    </row>
    <row r="178">
      <c r="A178" s="7" t="n"/>
      <c r="B178" s="8" t="n"/>
      <c r="C178" s="8" t="n"/>
      <c r="D178" s="8" t="n"/>
      <c r="E178" s="8" t="n"/>
      <c r="F178" s="9" t="n"/>
      <c r="G178" s="9" t="n"/>
      <c r="H178" s="8" t="n"/>
      <c r="I178" s="10">
        <f>IF(OR(F178&lt;&gt;"",G178&lt;&gt;""),ROUND(N(F178)+N(G178),2),"")</f>
        <v/>
      </c>
      <c r="J178" s="10">
        <f>IF(I178="","",IF(D178="Sostituto d'imposta",ROUND(I178*Parametri!$B$2,2),0))</f>
        <v/>
      </c>
      <c r="K178" s="11">
        <f>IF(I178="","",IF(I178&gt;Parametri!$B$4,"Si","No"))</f>
        <v/>
      </c>
      <c r="L178" s="10">
        <f>IF(I178="","",I178-J178+IF(AND(K178="Si",H178="Si"),Parametri!$B$3,0))</f>
        <v/>
      </c>
      <c r="M178" s="7" t="n"/>
      <c r="N178" s="9" t="n"/>
      <c r="O178" s="10">
        <f>IF(L178="","",ROUND(L178-N(N178),2))</f>
        <v/>
      </c>
      <c r="P178" s="8" t="n"/>
      <c r="Q178" s="8" t="n"/>
      <c r="R178" s="11">
        <f>IF(I178="","",IF(M178&lt;&gt;"",YEAR(M178),IF(A178&lt;&gt;"",YEAR(A178),"")))</f>
        <v/>
      </c>
      <c r="S178" s="11">
        <f>IF(I178="","",IF(M178&lt;&gt;"",MONTH(M178),IF(A178&lt;&gt;"",MONTH(A178),"")))</f>
        <v/>
      </c>
    </row>
    <row r="179">
      <c r="A179" s="7" t="n"/>
      <c r="B179" s="8" t="n"/>
      <c r="C179" s="8" t="n"/>
      <c r="D179" s="8" t="n"/>
      <c r="E179" s="8" t="n"/>
      <c r="F179" s="9" t="n"/>
      <c r="G179" s="9" t="n"/>
      <c r="H179" s="8" t="n"/>
      <c r="I179" s="10">
        <f>IF(OR(F179&lt;&gt;"",G179&lt;&gt;""),ROUND(N(F179)+N(G179),2),"")</f>
        <v/>
      </c>
      <c r="J179" s="10">
        <f>IF(I179="","",IF(D179="Sostituto d'imposta",ROUND(I179*Parametri!$B$2,2),0))</f>
        <v/>
      </c>
      <c r="K179" s="11">
        <f>IF(I179="","",IF(I179&gt;Parametri!$B$4,"Si","No"))</f>
        <v/>
      </c>
      <c r="L179" s="10">
        <f>IF(I179="","",I179-J179+IF(AND(K179="Si",H179="Si"),Parametri!$B$3,0))</f>
        <v/>
      </c>
      <c r="M179" s="7" t="n"/>
      <c r="N179" s="9" t="n"/>
      <c r="O179" s="10">
        <f>IF(L179="","",ROUND(L179-N(N179),2))</f>
        <v/>
      </c>
      <c r="P179" s="8" t="n"/>
      <c r="Q179" s="8" t="n"/>
      <c r="R179" s="11">
        <f>IF(I179="","",IF(M179&lt;&gt;"",YEAR(M179),IF(A179&lt;&gt;"",YEAR(A179),"")))</f>
        <v/>
      </c>
      <c r="S179" s="11">
        <f>IF(I179="","",IF(M179&lt;&gt;"",MONTH(M179),IF(A179&lt;&gt;"",MONTH(A179),"")))</f>
        <v/>
      </c>
    </row>
    <row r="180">
      <c r="A180" s="7" t="n"/>
      <c r="B180" s="8" t="n"/>
      <c r="C180" s="8" t="n"/>
      <c r="D180" s="8" t="n"/>
      <c r="E180" s="8" t="n"/>
      <c r="F180" s="9" t="n"/>
      <c r="G180" s="9" t="n"/>
      <c r="H180" s="8" t="n"/>
      <c r="I180" s="10">
        <f>IF(OR(F180&lt;&gt;"",G180&lt;&gt;""),ROUND(N(F180)+N(G180),2),"")</f>
        <v/>
      </c>
      <c r="J180" s="10">
        <f>IF(I180="","",IF(D180="Sostituto d'imposta",ROUND(I180*Parametri!$B$2,2),0))</f>
        <v/>
      </c>
      <c r="K180" s="11">
        <f>IF(I180="","",IF(I180&gt;Parametri!$B$4,"Si","No"))</f>
        <v/>
      </c>
      <c r="L180" s="10">
        <f>IF(I180="","",I180-J180+IF(AND(K180="Si",H180="Si"),Parametri!$B$3,0))</f>
        <v/>
      </c>
      <c r="M180" s="7" t="n"/>
      <c r="N180" s="9" t="n"/>
      <c r="O180" s="10">
        <f>IF(L180="","",ROUND(L180-N(N180),2))</f>
        <v/>
      </c>
      <c r="P180" s="8" t="n"/>
      <c r="Q180" s="8" t="n"/>
      <c r="R180" s="11">
        <f>IF(I180="","",IF(M180&lt;&gt;"",YEAR(M180),IF(A180&lt;&gt;"",YEAR(A180),"")))</f>
        <v/>
      </c>
      <c r="S180" s="11">
        <f>IF(I180="","",IF(M180&lt;&gt;"",MONTH(M180),IF(A180&lt;&gt;"",MONTH(A180),"")))</f>
        <v/>
      </c>
    </row>
    <row r="181">
      <c r="A181" s="7" t="n"/>
      <c r="B181" s="8" t="n"/>
      <c r="C181" s="8" t="n"/>
      <c r="D181" s="8" t="n"/>
      <c r="E181" s="8" t="n"/>
      <c r="F181" s="9" t="n"/>
      <c r="G181" s="9" t="n"/>
      <c r="H181" s="8" t="n"/>
      <c r="I181" s="10">
        <f>IF(OR(F181&lt;&gt;"",G181&lt;&gt;""),ROUND(N(F181)+N(G181),2),"")</f>
        <v/>
      </c>
      <c r="J181" s="10">
        <f>IF(I181="","",IF(D181="Sostituto d'imposta",ROUND(I181*Parametri!$B$2,2),0))</f>
        <v/>
      </c>
      <c r="K181" s="11">
        <f>IF(I181="","",IF(I181&gt;Parametri!$B$4,"Si","No"))</f>
        <v/>
      </c>
      <c r="L181" s="10">
        <f>IF(I181="","",I181-J181+IF(AND(K181="Si",H181="Si"),Parametri!$B$3,0))</f>
        <v/>
      </c>
      <c r="M181" s="7" t="n"/>
      <c r="N181" s="9" t="n"/>
      <c r="O181" s="10">
        <f>IF(L181="","",ROUND(L181-N(N181),2))</f>
        <v/>
      </c>
      <c r="P181" s="8" t="n"/>
      <c r="Q181" s="8" t="n"/>
      <c r="R181" s="11">
        <f>IF(I181="","",IF(M181&lt;&gt;"",YEAR(M181),IF(A181&lt;&gt;"",YEAR(A181),"")))</f>
        <v/>
      </c>
      <c r="S181" s="11">
        <f>IF(I181="","",IF(M181&lt;&gt;"",MONTH(M181),IF(A181&lt;&gt;"",MONTH(A181),"")))</f>
        <v/>
      </c>
    </row>
    <row r="182">
      <c r="A182" s="7" t="n"/>
      <c r="B182" s="8" t="n"/>
      <c r="C182" s="8" t="n"/>
      <c r="D182" s="8" t="n"/>
      <c r="E182" s="8" t="n"/>
      <c r="F182" s="9" t="n"/>
      <c r="G182" s="9" t="n"/>
      <c r="H182" s="8" t="n"/>
      <c r="I182" s="10">
        <f>IF(OR(F182&lt;&gt;"",G182&lt;&gt;""),ROUND(N(F182)+N(G182),2),"")</f>
        <v/>
      </c>
      <c r="J182" s="10">
        <f>IF(I182="","",IF(D182="Sostituto d'imposta",ROUND(I182*Parametri!$B$2,2),0))</f>
        <v/>
      </c>
      <c r="K182" s="11">
        <f>IF(I182="","",IF(I182&gt;Parametri!$B$4,"Si","No"))</f>
        <v/>
      </c>
      <c r="L182" s="10">
        <f>IF(I182="","",I182-J182+IF(AND(K182="Si",H182="Si"),Parametri!$B$3,0))</f>
        <v/>
      </c>
      <c r="M182" s="7" t="n"/>
      <c r="N182" s="9" t="n"/>
      <c r="O182" s="10">
        <f>IF(L182="","",ROUND(L182-N(N182),2))</f>
        <v/>
      </c>
      <c r="P182" s="8" t="n"/>
      <c r="Q182" s="8" t="n"/>
      <c r="R182" s="11">
        <f>IF(I182="","",IF(M182&lt;&gt;"",YEAR(M182),IF(A182&lt;&gt;"",YEAR(A182),"")))</f>
        <v/>
      </c>
      <c r="S182" s="11">
        <f>IF(I182="","",IF(M182&lt;&gt;"",MONTH(M182),IF(A182&lt;&gt;"",MONTH(A182),"")))</f>
        <v/>
      </c>
    </row>
    <row r="183">
      <c r="A183" s="7" t="n"/>
      <c r="B183" s="8" t="n"/>
      <c r="C183" s="8" t="n"/>
      <c r="D183" s="8" t="n"/>
      <c r="E183" s="8" t="n"/>
      <c r="F183" s="9" t="n"/>
      <c r="G183" s="9" t="n"/>
      <c r="H183" s="8" t="n"/>
      <c r="I183" s="10">
        <f>IF(OR(F183&lt;&gt;"",G183&lt;&gt;""),ROUND(N(F183)+N(G183),2),"")</f>
        <v/>
      </c>
      <c r="J183" s="10">
        <f>IF(I183="","",IF(D183="Sostituto d'imposta",ROUND(I183*Parametri!$B$2,2),0))</f>
        <v/>
      </c>
      <c r="K183" s="11">
        <f>IF(I183="","",IF(I183&gt;Parametri!$B$4,"Si","No"))</f>
        <v/>
      </c>
      <c r="L183" s="10">
        <f>IF(I183="","",I183-J183+IF(AND(K183="Si",H183="Si"),Parametri!$B$3,0))</f>
        <v/>
      </c>
      <c r="M183" s="7" t="n"/>
      <c r="N183" s="9" t="n"/>
      <c r="O183" s="10">
        <f>IF(L183="","",ROUND(L183-N(N183),2))</f>
        <v/>
      </c>
      <c r="P183" s="8" t="n"/>
      <c r="Q183" s="8" t="n"/>
      <c r="R183" s="11">
        <f>IF(I183="","",IF(M183&lt;&gt;"",YEAR(M183),IF(A183&lt;&gt;"",YEAR(A183),"")))</f>
        <v/>
      </c>
      <c r="S183" s="11">
        <f>IF(I183="","",IF(M183&lt;&gt;"",MONTH(M183),IF(A183&lt;&gt;"",MONTH(A183),"")))</f>
        <v/>
      </c>
    </row>
    <row r="184">
      <c r="A184" s="7" t="n"/>
      <c r="B184" s="8" t="n"/>
      <c r="C184" s="8" t="n"/>
      <c r="D184" s="8" t="n"/>
      <c r="E184" s="8" t="n"/>
      <c r="F184" s="9" t="n"/>
      <c r="G184" s="9" t="n"/>
      <c r="H184" s="8" t="n"/>
      <c r="I184" s="10">
        <f>IF(OR(F184&lt;&gt;"",G184&lt;&gt;""),ROUND(N(F184)+N(G184),2),"")</f>
        <v/>
      </c>
      <c r="J184" s="10">
        <f>IF(I184="","",IF(D184="Sostituto d'imposta",ROUND(I184*Parametri!$B$2,2),0))</f>
        <v/>
      </c>
      <c r="K184" s="11">
        <f>IF(I184="","",IF(I184&gt;Parametri!$B$4,"Si","No"))</f>
        <v/>
      </c>
      <c r="L184" s="10">
        <f>IF(I184="","",I184-J184+IF(AND(K184="Si",H184="Si"),Parametri!$B$3,0))</f>
        <v/>
      </c>
      <c r="M184" s="7" t="n"/>
      <c r="N184" s="9" t="n"/>
      <c r="O184" s="10">
        <f>IF(L184="","",ROUND(L184-N(N184),2))</f>
        <v/>
      </c>
      <c r="P184" s="8" t="n"/>
      <c r="Q184" s="8" t="n"/>
      <c r="R184" s="11">
        <f>IF(I184="","",IF(M184&lt;&gt;"",YEAR(M184),IF(A184&lt;&gt;"",YEAR(A184),"")))</f>
        <v/>
      </c>
      <c r="S184" s="11">
        <f>IF(I184="","",IF(M184&lt;&gt;"",MONTH(M184),IF(A184&lt;&gt;"",MONTH(A184),"")))</f>
        <v/>
      </c>
    </row>
    <row r="185">
      <c r="A185" s="7" t="n"/>
      <c r="B185" s="8" t="n"/>
      <c r="C185" s="8" t="n"/>
      <c r="D185" s="8" t="n"/>
      <c r="E185" s="8" t="n"/>
      <c r="F185" s="9" t="n"/>
      <c r="G185" s="9" t="n"/>
      <c r="H185" s="8" t="n"/>
      <c r="I185" s="10">
        <f>IF(OR(F185&lt;&gt;"",G185&lt;&gt;""),ROUND(N(F185)+N(G185),2),"")</f>
        <v/>
      </c>
      <c r="J185" s="10">
        <f>IF(I185="","",IF(D185="Sostituto d'imposta",ROUND(I185*Parametri!$B$2,2),0))</f>
        <v/>
      </c>
      <c r="K185" s="11">
        <f>IF(I185="","",IF(I185&gt;Parametri!$B$4,"Si","No"))</f>
        <v/>
      </c>
      <c r="L185" s="10">
        <f>IF(I185="","",I185-J185+IF(AND(K185="Si",H185="Si"),Parametri!$B$3,0))</f>
        <v/>
      </c>
      <c r="M185" s="7" t="n"/>
      <c r="N185" s="9" t="n"/>
      <c r="O185" s="10">
        <f>IF(L185="","",ROUND(L185-N(N185),2))</f>
        <v/>
      </c>
      <c r="P185" s="8" t="n"/>
      <c r="Q185" s="8" t="n"/>
      <c r="R185" s="11">
        <f>IF(I185="","",IF(M185&lt;&gt;"",YEAR(M185),IF(A185&lt;&gt;"",YEAR(A185),"")))</f>
        <v/>
      </c>
      <c r="S185" s="11">
        <f>IF(I185="","",IF(M185&lt;&gt;"",MONTH(M185),IF(A185&lt;&gt;"",MONTH(A185),"")))</f>
        <v/>
      </c>
    </row>
    <row r="186">
      <c r="A186" s="7" t="n"/>
      <c r="B186" s="8" t="n"/>
      <c r="C186" s="8" t="n"/>
      <c r="D186" s="8" t="n"/>
      <c r="E186" s="8" t="n"/>
      <c r="F186" s="9" t="n"/>
      <c r="G186" s="9" t="n"/>
      <c r="H186" s="8" t="n"/>
      <c r="I186" s="10">
        <f>IF(OR(F186&lt;&gt;"",G186&lt;&gt;""),ROUND(N(F186)+N(G186),2),"")</f>
        <v/>
      </c>
      <c r="J186" s="10">
        <f>IF(I186="","",IF(D186="Sostituto d'imposta",ROUND(I186*Parametri!$B$2,2),0))</f>
        <v/>
      </c>
      <c r="K186" s="11">
        <f>IF(I186="","",IF(I186&gt;Parametri!$B$4,"Si","No"))</f>
        <v/>
      </c>
      <c r="L186" s="10">
        <f>IF(I186="","",I186-J186+IF(AND(K186="Si",H186="Si"),Parametri!$B$3,0))</f>
        <v/>
      </c>
      <c r="M186" s="7" t="n"/>
      <c r="N186" s="9" t="n"/>
      <c r="O186" s="10">
        <f>IF(L186="","",ROUND(L186-N(N186),2))</f>
        <v/>
      </c>
      <c r="P186" s="8" t="n"/>
      <c r="Q186" s="8" t="n"/>
      <c r="R186" s="11">
        <f>IF(I186="","",IF(M186&lt;&gt;"",YEAR(M186),IF(A186&lt;&gt;"",YEAR(A186),"")))</f>
        <v/>
      </c>
      <c r="S186" s="11">
        <f>IF(I186="","",IF(M186&lt;&gt;"",MONTH(M186),IF(A186&lt;&gt;"",MONTH(A186),"")))</f>
        <v/>
      </c>
    </row>
    <row r="187">
      <c r="A187" s="7" t="n"/>
      <c r="B187" s="8" t="n"/>
      <c r="C187" s="8" t="n"/>
      <c r="D187" s="8" t="n"/>
      <c r="E187" s="8" t="n"/>
      <c r="F187" s="9" t="n"/>
      <c r="G187" s="9" t="n"/>
      <c r="H187" s="8" t="n"/>
      <c r="I187" s="10">
        <f>IF(OR(F187&lt;&gt;"",G187&lt;&gt;""),ROUND(N(F187)+N(G187),2),"")</f>
        <v/>
      </c>
      <c r="J187" s="10">
        <f>IF(I187="","",IF(D187="Sostituto d'imposta",ROUND(I187*Parametri!$B$2,2),0))</f>
        <v/>
      </c>
      <c r="K187" s="11">
        <f>IF(I187="","",IF(I187&gt;Parametri!$B$4,"Si","No"))</f>
        <v/>
      </c>
      <c r="L187" s="10">
        <f>IF(I187="","",I187-J187+IF(AND(K187="Si",H187="Si"),Parametri!$B$3,0))</f>
        <v/>
      </c>
      <c r="M187" s="7" t="n"/>
      <c r="N187" s="9" t="n"/>
      <c r="O187" s="10">
        <f>IF(L187="","",ROUND(L187-N(N187),2))</f>
        <v/>
      </c>
      <c r="P187" s="8" t="n"/>
      <c r="Q187" s="8" t="n"/>
      <c r="R187" s="11">
        <f>IF(I187="","",IF(M187&lt;&gt;"",YEAR(M187),IF(A187&lt;&gt;"",YEAR(A187),"")))</f>
        <v/>
      </c>
      <c r="S187" s="11">
        <f>IF(I187="","",IF(M187&lt;&gt;"",MONTH(M187),IF(A187&lt;&gt;"",MONTH(A187),"")))</f>
        <v/>
      </c>
    </row>
    <row r="188">
      <c r="A188" s="7" t="n"/>
      <c r="B188" s="8" t="n"/>
      <c r="C188" s="8" t="n"/>
      <c r="D188" s="8" t="n"/>
      <c r="E188" s="8" t="n"/>
      <c r="F188" s="9" t="n"/>
      <c r="G188" s="9" t="n"/>
      <c r="H188" s="8" t="n"/>
      <c r="I188" s="10">
        <f>IF(OR(F188&lt;&gt;"",G188&lt;&gt;""),ROUND(N(F188)+N(G188),2),"")</f>
        <v/>
      </c>
      <c r="J188" s="10">
        <f>IF(I188="","",IF(D188="Sostituto d'imposta",ROUND(I188*Parametri!$B$2,2),0))</f>
        <v/>
      </c>
      <c r="K188" s="11">
        <f>IF(I188="","",IF(I188&gt;Parametri!$B$4,"Si","No"))</f>
        <v/>
      </c>
      <c r="L188" s="10">
        <f>IF(I188="","",I188-J188+IF(AND(K188="Si",H188="Si"),Parametri!$B$3,0))</f>
        <v/>
      </c>
      <c r="M188" s="7" t="n"/>
      <c r="N188" s="9" t="n"/>
      <c r="O188" s="10">
        <f>IF(L188="","",ROUND(L188-N(N188),2))</f>
        <v/>
      </c>
      <c r="P188" s="8" t="n"/>
      <c r="Q188" s="8" t="n"/>
      <c r="R188" s="11">
        <f>IF(I188="","",IF(M188&lt;&gt;"",YEAR(M188),IF(A188&lt;&gt;"",YEAR(A188),"")))</f>
        <v/>
      </c>
      <c r="S188" s="11">
        <f>IF(I188="","",IF(M188&lt;&gt;"",MONTH(M188),IF(A188&lt;&gt;"",MONTH(A188),"")))</f>
        <v/>
      </c>
    </row>
    <row r="189">
      <c r="A189" s="7" t="n"/>
      <c r="B189" s="8" t="n"/>
      <c r="C189" s="8" t="n"/>
      <c r="D189" s="8" t="n"/>
      <c r="E189" s="8" t="n"/>
      <c r="F189" s="9" t="n"/>
      <c r="G189" s="9" t="n"/>
      <c r="H189" s="8" t="n"/>
      <c r="I189" s="10">
        <f>IF(OR(F189&lt;&gt;"",G189&lt;&gt;""),ROUND(N(F189)+N(G189),2),"")</f>
        <v/>
      </c>
      <c r="J189" s="10">
        <f>IF(I189="","",IF(D189="Sostituto d'imposta",ROUND(I189*Parametri!$B$2,2),0))</f>
        <v/>
      </c>
      <c r="K189" s="11">
        <f>IF(I189="","",IF(I189&gt;Parametri!$B$4,"Si","No"))</f>
        <v/>
      </c>
      <c r="L189" s="10">
        <f>IF(I189="","",I189-J189+IF(AND(K189="Si",H189="Si"),Parametri!$B$3,0))</f>
        <v/>
      </c>
      <c r="M189" s="7" t="n"/>
      <c r="N189" s="9" t="n"/>
      <c r="O189" s="10">
        <f>IF(L189="","",ROUND(L189-N(N189),2))</f>
        <v/>
      </c>
      <c r="P189" s="8" t="n"/>
      <c r="Q189" s="8" t="n"/>
      <c r="R189" s="11">
        <f>IF(I189="","",IF(M189&lt;&gt;"",YEAR(M189),IF(A189&lt;&gt;"",YEAR(A189),"")))</f>
        <v/>
      </c>
      <c r="S189" s="11">
        <f>IF(I189="","",IF(M189&lt;&gt;"",MONTH(M189),IF(A189&lt;&gt;"",MONTH(A189),"")))</f>
        <v/>
      </c>
    </row>
    <row r="190">
      <c r="A190" s="7" t="n"/>
      <c r="B190" s="8" t="n"/>
      <c r="C190" s="8" t="n"/>
      <c r="D190" s="8" t="n"/>
      <c r="E190" s="8" t="n"/>
      <c r="F190" s="9" t="n"/>
      <c r="G190" s="9" t="n"/>
      <c r="H190" s="8" t="n"/>
      <c r="I190" s="10">
        <f>IF(OR(F190&lt;&gt;"",G190&lt;&gt;""),ROUND(N(F190)+N(G190),2),"")</f>
        <v/>
      </c>
      <c r="J190" s="10">
        <f>IF(I190="","",IF(D190="Sostituto d'imposta",ROUND(I190*Parametri!$B$2,2),0))</f>
        <v/>
      </c>
      <c r="K190" s="11">
        <f>IF(I190="","",IF(I190&gt;Parametri!$B$4,"Si","No"))</f>
        <v/>
      </c>
      <c r="L190" s="10">
        <f>IF(I190="","",I190-J190+IF(AND(K190="Si",H190="Si"),Parametri!$B$3,0))</f>
        <v/>
      </c>
      <c r="M190" s="7" t="n"/>
      <c r="N190" s="9" t="n"/>
      <c r="O190" s="10">
        <f>IF(L190="","",ROUND(L190-N(N190),2))</f>
        <v/>
      </c>
      <c r="P190" s="8" t="n"/>
      <c r="Q190" s="8" t="n"/>
      <c r="R190" s="11">
        <f>IF(I190="","",IF(M190&lt;&gt;"",YEAR(M190),IF(A190&lt;&gt;"",YEAR(A190),"")))</f>
        <v/>
      </c>
      <c r="S190" s="11">
        <f>IF(I190="","",IF(M190&lt;&gt;"",MONTH(M190),IF(A190&lt;&gt;"",MONTH(A190),"")))</f>
        <v/>
      </c>
    </row>
    <row r="191">
      <c r="A191" s="7" t="n"/>
      <c r="B191" s="8" t="n"/>
      <c r="C191" s="8" t="n"/>
      <c r="D191" s="8" t="n"/>
      <c r="E191" s="8" t="n"/>
      <c r="F191" s="9" t="n"/>
      <c r="G191" s="9" t="n"/>
      <c r="H191" s="8" t="n"/>
      <c r="I191" s="10">
        <f>IF(OR(F191&lt;&gt;"",G191&lt;&gt;""),ROUND(N(F191)+N(G191),2),"")</f>
        <v/>
      </c>
      <c r="J191" s="10">
        <f>IF(I191="","",IF(D191="Sostituto d'imposta",ROUND(I191*Parametri!$B$2,2),0))</f>
        <v/>
      </c>
      <c r="K191" s="11">
        <f>IF(I191="","",IF(I191&gt;Parametri!$B$4,"Si","No"))</f>
        <v/>
      </c>
      <c r="L191" s="10">
        <f>IF(I191="","",I191-J191+IF(AND(K191="Si",H191="Si"),Parametri!$B$3,0))</f>
        <v/>
      </c>
      <c r="M191" s="7" t="n"/>
      <c r="N191" s="9" t="n"/>
      <c r="O191" s="10">
        <f>IF(L191="","",ROUND(L191-N(N191),2))</f>
        <v/>
      </c>
      <c r="P191" s="8" t="n"/>
      <c r="Q191" s="8" t="n"/>
      <c r="R191" s="11">
        <f>IF(I191="","",IF(M191&lt;&gt;"",YEAR(M191),IF(A191&lt;&gt;"",YEAR(A191),"")))</f>
        <v/>
      </c>
      <c r="S191" s="11">
        <f>IF(I191="","",IF(M191&lt;&gt;"",MONTH(M191),IF(A191&lt;&gt;"",MONTH(A191),"")))</f>
        <v/>
      </c>
    </row>
    <row r="192">
      <c r="A192" s="7" t="n"/>
      <c r="B192" s="8" t="n"/>
      <c r="C192" s="8" t="n"/>
      <c r="D192" s="8" t="n"/>
      <c r="E192" s="8" t="n"/>
      <c r="F192" s="9" t="n"/>
      <c r="G192" s="9" t="n"/>
      <c r="H192" s="8" t="n"/>
      <c r="I192" s="10">
        <f>IF(OR(F192&lt;&gt;"",G192&lt;&gt;""),ROUND(N(F192)+N(G192),2),"")</f>
        <v/>
      </c>
      <c r="J192" s="10">
        <f>IF(I192="","",IF(D192="Sostituto d'imposta",ROUND(I192*Parametri!$B$2,2),0))</f>
        <v/>
      </c>
      <c r="K192" s="11">
        <f>IF(I192="","",IF(I192&gt;Parametri!$B$4,"Si","No"))</f>
        <v/>
      </c>
      <c r="L192" s="10">
        <f>IF(I192="","",I192-J192+IF(AND(K192="Si",H192="Si"),Parametri!$B$3,0))</f>
        <v/>
      </c>
      <c r="M192" s="7" t="n"/>
      <c r="N192" s="9" t="n"/>
      <c r="O192" s="10">
        <f>IF(L192="","",ROUND(L192-N(N192),2))</f>
        <v/>
      </c>
      <c r="P192" s="8" t="n"/>
      <c r="Q192" s="8" t="n"/>
      <c r="R192" s="11">
        <f>IF(I192="","",IF(M192&lt;&gt;"",YEAR(M192),IF(A192&lt;&gt;"",YEAR(A192),"")))</f>
        <v/>
      </c>
      <c r="S192" s="11">
        <f>IF(I192="","",IF(M192&lt;&gt;"",MONTH(M192),IF(A192&lt;&gt;"",MONTH(A192),"")))</f>
        <v/>
      </c>
    </row>
    <row r="193">
      <c r="A193" s="7" t="n"/>
      <c r="B193" s="8" t="n"/>
      <c r="C193" s="8" t="n"/>
      <c r="D193" s="8" t="n"/>
      <c r="E193" s="8" t="n"/>
      <c r="F193" s="9" t="n"/>
      <c r="G193" s="9" t="n"/>
      <c r="H193" s="8" t="n"/>
      <c r="I193" s="10">
        <f>IF(OR(F193&lt;&gt;"",G193&lt;&gt;""),ROUND(N(F193)+N(G193),2),"")</f>
        <v/>
      </c>
      <c r="J193" s="10">
        <f>IF(I193="","",IF(D193="Sostituto d'imposta",ROUND(I193*Parametri!$B$2,2),0))</f>
        <v/>
      </c>
      <c r="K193" s="11">
        <f>IF(I193="","",IF(I193&gt;Parametri!$B$4,"Si","No"))</f>
        <v/>
      </c>
      <c r="L193" s="10">
        <f>IF(I193="","",I193-J193+IF(AND(K193="Si",H193="Si"),Parametri!$B$3,0))</f>
        <v/>
      </c>
      <c r="M193" s="7" t="n"/>
      <c r="N193" s="9" t="n"/>
      <c r="O193" s="10">
        <f>IF(L193="","",ROUND(L193-N(N193),2))</f>
        <v/>
      </c>
      <c r="P193" s="8" t="n"/>
      <c r="Q193" s="8" t="n"/>
      <c r="R193" s="11">
        <f>IF(I193="","",IF(M193&lt;&gt;"",YEAR(M193),IF(A193&lt;&gt;"",YEAR(A193),"")))</f>
        <v/>
      </c>
      <c r="S193" s="11">
        <f>IF(I193="","",IF(M193&lt;&gt;"",MONTH(M193),IF(A193&lt;&gt;"",MONTH(A193),"")))</f>
        <v/>
      </c>
    </row>
    <row r="194">
      <c r="A194" s="7" t="n"/>
      <c r="B194" s="8" t="n"/>
      <c r="C194" s="8" t="n"/>
      <c r="D194" s="8" t="n"/>
      <c r="E194" s="8" t="n"/>
      <c r="F194" s="9" t="n"/>
      <c r="G194" s="9" t="n"/>
      <c r="H194" s="8" t="n"/>
      <c r="I194" s="10">
        <f>IF(OR(F194&lt;&gt;"",G194&lt;&gt;""),ROUND(N(F194)+N(G194),2),"")</f>
        <v/>
      </c>
      <c r="J194" s="10">
        <f>IF(I194="","",IF(D194="Sostituto d'imposta",ROUND(I194*Parametri!$B$2,2),0))</f>
        <v/>
      </c>
      <c r="K194" s="11">
        <f>IF(I194="","",IF(I194&gt;Parametri!$B$4,"Si","No"))</f>
        <v/>
      </c>
      <c r="L194" s="10">
        <f>IF(I194="","",I194-J194+IF(AND(K194="Si",H194="Si"),Parametri!$B$3,0))</f>
        <v/>
      </c>
      <c r="M194" s="7" t="n"/>
      <c r="N194" s="9" t="n"/>
      <c r="O194" s="10">
        <f>IF(L194="","",ROUND(L194-N(N194),2))</f>
        <v/>
      </c>
      <c r="P194" s="8" t="n"/>
      <c r="Q194" s="8" t="n"/>
      <c r="R194" s="11">
        <f>IF(I194="","",IF(M194&lt;&gt;"",YEAR(M194),IF(A194&lt;&gt;"",YEAR(A194),"")))</f>
        <v/>
      </c>
      <c r="S194" s="11">
        <f>IF(I194="","",IF(M194&lt;&gt;"",MONTH(M194),IF(A194&lt;&gt;"",MONTH(A194),"")))</f>
        <v/>
      </c>
    </row>
    <row r="195">
      <c r="A195" s="7" t="n"/>
      <c r="B195" s="8" t="n"/>
      <c r="C195" s="8" t="n"/>
      <c r="D195" s="8" t="n"/>
      <c r="E195" s="8" t="n"/>
      <c r="F195" s="9" t="n"/>
      <c r="G195" s="9" t="n"/>
      <c r="H195" s="8" t="n"/>
      <c r="I195" s="10">
        <f>IF(OR(F195&lt;&gt;"",G195&lt;&gt;""),ROUND(N(F195)+N(G195),2),"")</f>
        <v/>
      </c>
      <c r="J195" s="10">
        <f>IF(I195="","",IF(D195="Sostituto d'imposta",ROUND(I195*Parametri!$B$2,2),0))</f>
        <v/>
      </c>
      <c r="K195" s="11">
        <f>IF(I195="","",IF(I195&gt;Parametri!$B$4,"Si","No"))</f>
        <v/>
      </c>
      <c r="L195" s="10">
        <f>IF(I195="","",I195-J195+IF(AND(K195="Si",H195="Si"),Parametri!$B$3,0))</f>
        <v/>
      </c>
      <c r="M195" s="7" t="n"/>
      <c r="N195" s="9" t="n"/>
      <c r="O195" s="10">
        <f>IF(L195="","",ROUND(L195-N(N195),2))</f>
        <v/>
      </c>
      <c r="P195" s="8" t="n"/>
      <c r="Q195" s="8" t="n"/>
      <c r="R195" s="11">
        <f>IF(I195="","",IF(M195&lt;&gt;"",YEAR(M195),IF(A195&lt;&gt;"",YEAR(A195),"")))</f>
        <v/>
      </c>
      <c r="S195" s="11">
        <f>IF(I195="","",IF(M195&lt;&gt;"",MONTH(M195),IF(A195&lt;&gt;"",MONTH(A195),"")))</f>
        <v/>
      </c>
    </row>
    <row r="196">
      <c r="A196" s="7" t="n"/>
      <c r="B196" s="8" t="n"/>
      <c r="C196" s="8" t="n"/>
      <c r="D196" s="8" t="n"/>
      <c r="E196" s="8" t="n"/>
      <c r="F196" s="9" t="n"/>
      <c r="G196" s="9" t="n"/>
      <c r="H196" s="8" t="n"/>
      <c r="I196" s="10">
        <f>IF(OR(F196&lt;&gt;"",G196&lt;&gt;""),ROUND(N(F196)+N(G196),2),"")</f>
        <v/>
      </c>
      <c r="J196" s="10">
        <f>IF(I196="","",IF(D196="Sostituto d'imposta",ROUND(I196*Parametri!$B$2,2),0))</f>
        <v/>
      </c>
      <c r="K196" s="11">
        <f>IF(I196="","",IF(I196&gt;Parametri!$B$4,"Si","No"))</f>
        <v/>
      </c>
      <c r="L196" s="10">
        <f>IF(I196="","",I196-J196+IF(AND(K196="Si",H196="Si"),Parametri!$B$3,0))</f>
        <v/>
      </c>
      <c r="M196" s="7" t="n"/>
      <c r="N196" s="9" t="n"/>
      <c r="O196" s="10">
        <f>IF(L196="","",ROUND(L196-N(N196),2))</f>
        <v/>
      </c>
      <c r="P196" s="8" t="n"/>
      <c r="Q196" s="8" t="n"/>
      <c r="R196" s="11">
        <f>IF(I196="","",IF(M196&lt;&gt;"",YEAR(M196),IF(A196&lt;&gt;"",YEAR(A196),"")))</f>
        <v/>
      </c>
      <c r="S196" s="11">
        <f>IF(I196="","",IF(M196&lt;&gt;"",MONTH(M196),IF(A196&lt;&gt;"",MONTH(A196),"")))</f>
        <v/>
      </c>
    </row>
    <row r="197">
      <c r="A197" s="7" t="n"/>
      <c r="B197" s="8" t="n"/>
      <c r="C197" s="8" t="n"/>
      <c r="D197" s="8" t="n"/>
      <c r="E197" s="8" t="n"/>
      <c r="F197" s="9" t="n"/>
      <c r="G197" s="9" t="n"/>
      <c r="H197" s="8" t="n"/>
      <c r="I197" s="10">
        <f>IF(OR(F197&lt;&gt;"",G197&lt;&gt;""),ROUND(N(F197)+N(G197),2),"")</f>
        <v/>
      </c>
      <c r="J197" s="10">
        <f>IF(I197="","",IF(D197="Sostituto d'imposta",ROUND(I197*Parametri!$B$2,2),0))</f>
        <v/>
      </c>
      <c r="K197" s="11">
        <f>IF(I197="","",IF(I197&gt;Parametri!$B$4,"Si","No"))</f>
        <v/>
      </c>
      <c r="L197" s="10">
        <f>IF(I197="","",I197-J197+IF(AND(K197="Si",H197="Si"),Parametri!$B$3,0))</f>
        <v/>
      </c>
      <c r="M197" s="7" t="n"/>
      <c r="N197" s="9" t="n"/>
      <c r="O197" s="10">
        <f>IF(L197="","",ROUND(L197-N(N197),2))</f>
        <v/>
      </c>
      <c r="P197" s="8" t="n"/>
      <c r="Q197" s="8" t="n"/>
      <c r="R197" s="11">
        <f>IF(I197="","",IF(M197&lt;&gt;"",YEAR(M197),IF(A197&lt;&gt;"",YEAR(A197),"")))</f>
        <v/>
      </c>
      <c r="S197" s="11">
        <f>IF(I197="","",IF(M197&lt;&gt;"",MONTH(M197),IF(A197&lt;&gt;"",MONTH(A197),"")))</f>
        <v/>
      </c>
    </row>
    <row r="198">
      <c r="A198" s="7" t="n"/>
      <c r="B198" s="8" t="n"/>
      <c r="C198" s="8" t="n"/>
      <c r="D198" s="8" t="n"/>
      <c r="E198" s="8" t="n"/>
      <c r="F198" s="9" t="n"/>
      <c r="G198" s="9" t="n"/>
      <c r="H198" s="8" t="n"/>
      <c r="I198" s="10">
        <f>IF(OR(F198&lt;&gt;"",G198&lt;&gt;""),ROUND(N(F198)+N(G198),2),"")</f>
        <v/>
      </c>
      <c r="J198" s="10">
        <f>IF(I198="","",IF(D198="Sostituto d'imposta",ROUND(I198*Parametri!$B$2,2),0))</f>
        <v/>
      </c>
      <c r="K198" s="11">
        <f>IF(I198="","",IF(I198&gt;Parametri!$B$4,"Si","No"))</f>
        <v/>
      </c>
      <c r="L198" s="10">
        <f>IF(I198="","",I198-J198+IF(AND(K198="Si",H198="Si"),Parametri!$B$3,0))</f>
        <v/>
      </c>
      <c r="M198" s="7" t="n"/>
      <c r="N198" s="9" t="n"/>
      <c r="O198" s="10">
        <f>IF(L198="","",ROUND(L198-N(N198),2))</f>
        <v/>
      </c>
      <c r="P198" s="8" t="n"/>
      <c r="Q198" s="8" t="n"/>
      <c r="R198" s="11">
        <f>IF(I198="","",IF(M198&lt;&gt;"",YEAR(M198),IF(A198&lt;&gt;"",YEAR(A198),"")))</f>
        <v/>
      </c>
      <c r="S198" s="11">
        <f>IF(I198="","",IF(M198&lt;&gt;"",MONTH(M198),IF(A198&lt;&gt;"",MONTH(A198),"")))</f>
        <v/>
      </c>
    </row>
    <row r="199">
      <c r="A199" s="7" t="n"/>
      <c r="B199" s="8" t="n"/>
      <c r="C199" s="8" t="n"/>
      <c r="D199" s="8" t="n"/>
      <c r="E199" s="8" t="n"/>
      <c r="F199" s="9" t="n"/>
      <c r="G199" s="9" t="n"/>
      <c r="H199" s="8" t="n"/>
      <c r="I199" s="10">
        <f>IF(OR(F199&lt;&gt;"",G199&lt;&gt;""),ROUND(N(F199)+N(G199),2),"")</f>
        <v/>
      </c>
      <c r="J199" s="10">
        <f>IF(I199="","",IF(D199="Sostituto d'imposta",ROUND(I199*Parametri!$B$2,2),0))</f>
        <v/>
      </c>
      <c r="K199" s="11">
        <f>IF(I199="","",IF(I199&gt;Parametri!$B$4,"Si","No"))</f>
        <v/>
      </c>
      <c r="L199" s="10">
        <f>IF(I199="","",I199-J199+IF(AND(K199="Si",H199="Si"),Parametri!$B$3,0))</f>
        <v/>
      </c>
      <c r="M199" s="7" t="n"/>
      <c r="N199" s="9" t="n"/>
      <c r="O199" s="10">
        <f>IF(L199="","",ROUND(L199-N(N199),2))</f>
        <v/>
      </c>
      <c r="P199" s="8" t="n"/>
      <c r="Q199" s="8" t="n"/>
      <c r="R199" s="11">
        <f>IF(I199="","",IF(M199&lt;&gt;"",YEAR(M199),IF(A199&lt;&gt;"",YEAR(A199),"")))</f>
        <v/>
      </c>
      <c r="S199" s="11">
        <f>IF(I199="","",IF(M199&lt;&gt;"",MONTH(M199),IF(A199&lt;&gt;"",MONTH(A199),"")))</f>
        <v/>
      </c>
    </row>
    <row r="200">
      <c r="A200" s="7" t="n"/>
      <c r="B200" s="8" t="n"/>
      <c r="C200" s="8" t="n"/>
      <c r="D200" s="8" t="n"/>
      <c r="E200" s="8" t="n"/>
      <c r="F200" s="9" t="n"/>
      <c r="G200" s="9" t="n"/>
      <c r="H200" s="8" t="n"/>
      <c r="I200" s="10">
        <f>IF(OR(F200&lt;&gt;"",G200&lt;&gt;""),ROUND(N(F200)+N(G200),2),"")</f>
        <v/>
      </c>
      <c r="J200" s="10">
        <f>IF(I200="","",IF(D200="Sostituto d'imposta",ROUND(I200*Parametri!$B$2,2),0))</f>
        <v/>
      </c>
      <c r="K200" s="11">
        <f>IF(I200="","",IF(I200&gt;Parametri!$B$4,"Si","No"))</f>
        <v/>
      </c>
      <c r="L200" s="10">
        <f>IF(I200="","",I200-J200+IF(AND(K200="Si",H200="Si"),Parametri!$B$3,0))</f>
        <v/>
      </c>
      <c r="M200" s="7" t="n"/>
      <c r="N200" s="9" t="n"/>
      <c r="O200" s="10">
        <f>IF(L200="","",ROUND(L200-N(N200),2))</f>
        <v/>
      </c>
      <c r="P200" s="8" t="n"/>
      <c r="Q200" s="8" t="n"/>
      <c r="R200" s="11">
        <f>IF(I200="","",IF(M200&lt;&gt;"",YEAR(M200),IF(A200&lt;&gt;"",YEAR(A200),"")))</f>
        <v/>
      </c>
      <c r="S200" s="11">
        <f>IF(I200="","",IF(M200&lt;&gt;"",MONTH(M200),IF(A200&lt;&gt;"",MONTH(A200),"")))</f>
        <v/>
      </c>
    </row>
    <row r="201">
      <c r="A201" s="7" t="n"/>
      <c r="B201" s="8" t="n"/>
      <c r="C201" s="8" t="n"/>
      <c r="D201" s="8" t="n"/>
      <c r="E201" s="8" t="n"/>
      <c r="F201" s="9" t="n"/>
      <c r="G201" s="9" t="n"/>
      <c r="H201" s="8" t="n"/>
      <c r="I201" s="10">
        <f>IF(OR(F201&lt;&gt;"",G201&lt;&gt;""),ROUND(N(F201)+N(G201),2),"")</f>
        <v/>
      </c>
      <c r="J201" s="10">
        <f>IF(I201="","",IF(D201="Sostituto d'imposta",ROUND(I201*Parametri!$B$2,2),0))</f>
        <v/>
      </c>
      <c r="K201" s="11">
        <f>IF(I201="","",IF(I201&gt;Parametri!$B$4,"Si","No"))</f>
        <v/>
      </c>
      <c r="L201" s="10">
        <f>IF(I201="","",I201-J201+IF(AND(K201="Si",H201="Si"),Parametri!$B$3,0))</f>
        <v/>
      </c>
      <c r="M201" s="7" t="n"/>
      <c r="N201" s="9" t="n"/>
      <c r="O201" s="10">
        <f>IF(L201="","",ROUND(L201-N(N201),2))</f>
        <v/>
      </c>
      <c r="P201" s="8" t="n"/>
      <c r="Q201" s="8" t="n"/>
      <c r="R201" s="11">
        <f>IF(I201="","",IF(M201&lt;&gt;"",YEAR(M201),IF(A201&lt;&gt;"",YEAR(A201),"")))</f>
        <v/>
      </c>
      <c r="S201" s="11">
        <f>IF(I201="","",IF(M201&lt;&gt;"",MONTH(M201),IF(A201&lt;&gt;"",MONTH(A201),"")))</f>
        <v/>
      </c>
    </row>
    <row r="202">
      <c r="A202" s="7" t="n"/>
      <c r="B202" s="8" t="n"/>
      <c r="C202" s="8" t="n"/>
      <c r="D202" s="8" t="n"/>
      <c r="E202" s="8" t="n"/>
      <c r="F202" s="9" t="n"/>
      <c r="G202" s="9" t="n"/>
      <c r="H202" s="8" t="n"/>
      <c r="I202" s="10">
        <f>IF(OR(F202&lt;&gt;"",G202&lt;&gt;""),ROUND(N(F202)+N(G202),2),"")</f>
        <v/>
      </c>
      <c r="J202" s="10">
        <f>IF(I202="","",IF(D202="Sostituto d'imposta",ROUND(I202*Parametri!$B$2,2),0))</f>
        <v/>
      </c>
      <c r="K202" s="11">
        <f>IF(I202="","",IF(I202&gt;Parametri!$B$4,"Si","No"))</f>
        <v/>
      </c>
      <c r="L202" s="10">
        <f>IF(I202="","",I202-J202+IF(AND(K202="Si",H202="Si"),Parametri!$B$3,0))</f>
        <v/>
      </c>
      <c r="M202" s="7" t="n"/>
      <c r="N202" s="9" t="n"/>
      <c r="O202" s="10">
        <f>IF(L202="","",ROUND(L202-N(N202),2))</f>
        <v/>
      </c>
      <c r="P202" s="8" t="n"/>
      <c r="Q202" s="8" t="n"/>
      <c r="R202" s="11">
        <f>IF(I202="","",IF(M202&lt;&gt;"",YEAR(M202),IF(A202&lt;&gt;"",YEAR(A202),"")))</f>
        <v/>
      </c>
      <c r="S202" s="11">
        <f>IF(I202="","",IF(M202&lt;&gt;"",MONTH(M202),IF(A202&lt;&gt;"",MONTH(A202),"")))</f>
        <v/>
      </c>
    </row>
    <row r="203">
      <c r="A203" s="7" t="n"/>
      <c r="B203" s="8" t="n"/>
      <c r="C203" s="8" t="n"/>
      <c r="D203" s="8" t="n"/>
      <c r="E203" s="8" t="n"/>
      <c r="F203" s="9" t="n"/>
      <c r="G203" s="9" t="n"/>
      <c r="H203" s="8" t="n"/>
      <c r="I203" s="10">
        <f>IF(OR(F203&lt;&gt;"",G203&lt;&gt;""),ROUND(N(F203)+N(G203),2),"")</f>
        <v/>
      </c>
      <c r="J203" s="10">
        <f>IF(I203="","",IF(D203="Sostituto d'imposta",ROUND(I203*Parametri!$B$2,2),0))</f>
        <v/>
      </c>
      <c r="K203" s="11">
        <f>IF(I203="","",IF(I203&gt;Parametri!$B$4,"Si","No"))</f>
        <v/>
      </c>
      <c r="L203" s="10">
        <f>IF(I203="","",I203-J203+IF(AND(K203="Si",H203="Si"),Parametri!$B$3,0))</f>
        <v/>
      </c>
      <c r="M203" s="7" t="n"/>
      <c r="N203" s="9" t="n"/>
      <c r="O203" s="10">
        <f>IF(L203="","",ROUND(L203-N(N203),2))</f>
        <v/>
      </c>
      <c r="P203" s="8" t="n"/>
      <c r="Q203" s="8" t="n"/>
      <c r="R203" s="11">
        <f>IF(I203="","",IF(M203&lt;&gt;"",YEAR(M203),IF(A203&lt;&gt;"",YEAR(A203),"")))</f>
        <v/>
      </c>
      <c r="S203" s="11">
        <f>IF(I203="","",IF(M203&lt;&gt;"",MONTH(M203),IF(A203&lt;&gt;"",MONTH(A203),"")))</f>
        <v/>
      </c>
    </row>
    <row r="204">
      <c r="A204" s="7" t="n"/>
      <c r="B204" s="8" t="n"/>
      <c r="C204" s="8" t="n"/>
      <c r="D204" s="8" t="n"/>
      <c r="E204" s="8" t="n"/>
      <c r="F204" s="9" t="n"/>
      <c r="G204" s="9" t="n"/>
      <c r="H204" s="8" t="n"/>
      <c r="I204" s="10">
        <f>IF(OR(F204&lt;&gt;"",G204&lt;&gt;""),ROUND(N(F204)+N(G204),2),"")</f>
        <v/>
      </c>
      <c r="J204" s="10">
        <f>IF(I204="","",IF(D204="Sostituto d'imposta",ROUND(I204*Parametri!$B$2,2),0))</f>
        <v/>
      </c>
      <c r="K204" s="11">
        <f>IF(I204="","",IF(I204&gt;Parametri!$B$4,"Si","No"))</f>
        <v/>
      </c>
      <c r="L204" s="10">
        <f>IF(I204="","",I204-J204+IF(AND(K204="Si",H204="Si"),Parametri!$B$3,0))</f>
        <v/>
      </c>
      <c r="M204" s="7" t="n"/>
      <c r="N204" s="9" t="n"/>
      <c r="O204" s="10">
        <f>IF(L204="","",ROUND(L204-N(N204),2))</f>
        <v/>
      </c>
      <c r="P204" s="8" t="n"/>
      <c r="Q204" s="8" t="n"/>
      <c r="R204" s="11">
        <f>IF(I204="","",IF(M204&lt;&gt;"",YEAR(M204),IF(A204&lt;&gt;"",YEAR(A204),"")))</f>
        <v/>
      </c>
      <c r="S204" s="11">
        <f>IF(I204="","",IF(M204&lt;&gt;"",MONTH(M204),IF(A204&lt;&gt;"",MONTH(A204),"")))</f>
        <v/>
      </c>
    </row>
    <row r="205">
      <c r="A205" s="7" t="n"/>
      <c r="B205" s="8" t="n"/>
      <c r="C205" s="8" t="n"/>
      <c r="D205" s="8" t="n"/>
      <c r="E205" s="8" t="n"/>
      <c r="F205" s="9" t="n"/>
      <c r="G205" s="9" t="n"/>
      <c r="H205" s="8" t="n"/>
      <c r="I205" s="10">
        <f>IF(OR(F205&lt;&gt;"",G205&lt;&gt;""),ROUND(N(F205)+N(G205),2),"")</f>
        <v/>
      </c>
      <c r="J205" s="10">
        <f>IF(I205="","",IF(D205="Sostituto d'imposta",ROUND(I205*Parametri!$B$2,2),0))</f>
        <v/>
      </c>
      <c r="K205" s="11">
        <f>IF(I205="","",IF(I205&gt;Parametri!$B$4,"Si","No"))</f>
        <v/>
      </c>
      <c r="L205" s="10">
        <f>IF(I205="","",I205-J205+IF(AND(K205="Si",H205="Si"),Parametri!$B$3,0))</f>
        <v/>
      </c>
      <c r="M205" s="7" t="n"/>
      <c r="N205" s="9" t="n"/>
      <c r="O205" s="10">
        <f>IF(L205="","",ROUND(L205-N(N205),2))</f>
        <v/>
      </c>
      <c r="P205" s="8" t="n"/>
      <c r="Q205" s="8" t="n"/>
      <c r="R205" s="11">
        <f>IF(I205="","",IF(M205&lt;&gt;"",YEAR(M205),IF(A205&lt;&gt;"",YEAR(A205),"")))</f>
        <v/>
      </c>
      <c r="S205" s="11">
        <f>IF(I205="","",IF(M205&lt;&gt;"",MONTH(M205),IF(A205&lt;&gt;"",MONTH(A205),"")))</f>
        <v/>
      </c>
    </row>
    <row r="206">
      <c r="A206" s="7" t="n"/>
      <c r="B206" s="8" t="n"/>
      <c r="C206" s="8" t="n"/>
      <c r="D206" s="8" t="n"/>
      <c r="E206" s="8" t="n"/>
      <c r="F206" s="9" t="n"/>
      <c r="G206" s="9" t="n"/>
      <c r="H206" s="8" t="n"/>
      <c r="I206" s="10">
        <f>IF(OR(F206&lt;&gt;"",G206&lt;&gt;""),ROUND(N(F206)+N(G206),2),"")</f>
        <v/>
      </c>
      <c r="J206" s="10">
        <f>IF(I206="","",IF(D206="Sostituto d'imposta",ROUND(I206*Parametri!$B$2,2),0))</f>
        <v/>
      </c>
      <c r="K206" s="11">
        <f>IF(I206="","",IF(I206&gt;Parametri!$B$4,"Si","No"))</f>
        <v/>
      </c>
      <c r="L206" s="10">
        <f>IF(I206="","",I206-J206+IF(AND(K206="Si",H206="Si"),Parametri!$B$3,0))</f>
        <v/>
      </c>
      <c r="M206" s="7" t="n"/>
      <c r="N206" s="9" t="n"/>
      <c r="O206" s="10">
        <f>IF(L206="","",ROUND(L206-N(N206),2))</f>
        <v/>
      </c>
      <c r="P206" s="8" t="n"/>
      <c r="Q206" s="8" t="n"/>
      <c r="R206" s="11">
        <f>IF(I206="","",IF(M206&lt;&gt;"",YEAR(M206),IF(A206&lt;&gt;"",YEAR(A206),"")))</f>
        <v/>
      </c>
      <c r="S206" s="11">
        <f>IF(I206="","",IF(M206&lt;&gt;"",MONTH(M206),IF(A206&lt;&gt;"",MONTH(A206),"")))</f>
        <v/>
      </c>
    </row>
    <row r="207">
      <c r="A207" s="7" t="n"/>
      <c r="B207" s="8" t="n"/>
      <c r="C207" s="8" t="n"/>
      <c r="D207" s="8" t="n"/>
      <c r="E207" s="8" t="n"/>
      <c r="F207" s="9" t="n"/>
      <c r="G207" s="9" t="n"/>
      <c r="H207" s="8" t="n"/>
      <c r="I207" s="10">
        <f>IF(OR(F207&lt;&gt;"",G207&lt;&gt;""),ROUND(N(F207)+N(G207),2),"")</f>
        <v/>
      </c>
      <c r="J207" s="10">
        <f>IF(I207="","",IF(D207="Sostituto d'imposta",ROUND(I207*Parametri!$B$2,2),0))</f>
        <v/>
      </c>
      <c r="K207" s="11">
        <f>IF(I207="","",IF(I207&gt;Parametri!$B$4,"Si","No"))</f>
        <v/>
      </c>
      <c r="L207" s="10">
        <f>IF(I207="","",I207-J207+IF(AND(K207="Si",H207="Si"),Parametri!$B$3,0))</f>
        <v/>
      </c>
      <c r="M207" s="7" t="n"/>
      <c r="N207" s="9" t="n"/>
      <c r="O207" s="10">
        <f>IF(L207="","",ROUND(L207-N(N207),2))</f>
        <v/>
      </c>
      <c r="P207" s="8" t="n"/>
      <c r="Q207" s="8" t="n"/>
      <c r="R207" s="11">
        <f>IF(I207="","",IF(M207&lt;&gt;"",YEAR(M207),IF(A207&lt;&gt;"",YEAR(A207),"")))</f>
        <v/>
      </c>
      <c r="S207" s="11">
        <f>IF(I207="","",IF(M207&lt;&gt;"",MONTH(M207),IF(A207&lt;&gt;"",MONTH(A207),"")))</f>
        <v/>
      </c>
    </row>
    <row r="208">
      <c r="A208" s="7" t="n"/>
      <c r="B208" s="8" t="n"/>
      <c r="C208" s="8" t="n"/>
      <c r="D208" s="8" t="n"/>
      <c r="E208" s="8" t="n"/>
      <c r="F208" s="9" t="n"/>
      <c r="G208" s="9" t="n"/>
      <c r="H208" s="8" t="n"/>
      <c r="I208" s="10">
        <f>IF(OR(F208&lt;&gt;"",G208&lt;&gt;""),ROUND(N(F208)+N(G208),2),"")</f>
        <v/>
      </c>
      <c r="J208" s="10">
        <f>IF(I208="","",IF(D208="Sostituto d'imposta",ROUND(I208*Parametri!$B$2,2),0))</f>
        <v/>
      </c>
      <c r="K208" s="11">
        <f>IF(I208="","",IF(I208&gt;Parametri!$B$4,"Si","No"))</f>
        <v/>
      </c>
      <c r="L208" s="10">
        <f>IF(I208="","",I208-J208+IF(AND(K208="Si",H208="Si"),Parametri!$B$3,0))</f>
        <v/>
      </c>
      <c r="M208" s="7" t="n"/>
      <c r="N208" s="9" t="n"/>
      <c r="O208" s="10">
        <f>IF(L208="","",ROUND(L208-N(N208),2))</f>
        <v/>
      </c>
      <c r="P208" s="8" t="n"/>
      <c r="Q208" s="8" t="n"/>
      <c r="R208" s="11">
        <f>IF(I208="","",IF(M208&lt;&gt;"",YEAR(M208),IF(A208&lt;&gt;"",YEAR(A208),"")))</f>
        <v/>
      </c>
      <c r="S208" s="11">
        <f>IF(I208="","",IF(M208&lt;&gt;"",MONTH(M208),IF(A208&lt;&gt;"",MONTH(A208),"")))</f>
        <v/>
      </c>
    </row>
    <row r="209">
      <c r="A209" s="7" t="n"/>
      <c r="B209" s="8" t="n"/>
      <c r="C209" s="8" t="n"/>
      <c r="D209" s="8" t="n"/>
      <c r="E209" s="8" t="n"/>
      <c r="F209" s="9" t="n"/>
      <c r="G209" s="9" t="n"/>
      <c r="H209" s="8" t="n"/>
      <c r="I209" s="10">
        <f>IF(OR(F209&lt;&gt;"",G209&lt;&gt;""),ROUND(N(F209)+N(G209),2),"")</f>
        <v/>
      </c>
      <c r="J209" s="10">
        <f>IF(I209="","",IF(D209="Sostituto d'imposta",ROUND(I209*Parametri!$B$2,2),0))</f>
        <v/>
      </c>
      <c r="K209" s="11">
        <f>IF(I209="","",IF(I209&gt;Parametri!$B$4,"Si","No"))</f>
        <v/>
      </c>
      <c r="L209" s="10">
        <f>IF(I209="","",I209-J209+IF(AND(K209="Si",H209="Si"),Parametri!$B$3,0))</f>
        <v/>
      </c>
      <c r="M209" s="7" t="n"/>
      <c r="N209" s="9" t="n"/>
      <c r="O209" s="10">
        <f>IF(L209="","",ROUND(L209-N(N209),2))</f>
        <v/>
      </c>
      <c r="P209" s="8" t="n"/>
      <c r="Q209" s="8" t="n"/>
      <c r="R209" s="11">
        <f>IF(I209="","",IF(M209&lt;&gt;"",YEAR(M209),IF(A209&lt;&gt;"",YEAR(A209),"")))</f>
        <v/>
      </c>
      <c r="S209" s="11">
        <f>IF(I209="","",IF(M209&lt;&gt;"",MONTH(M209),IF(A209&lt;&gt;"",MONTH(A209),"")))</f>
        <v/>
      </c>
    </row>
    <row r="210">
      <c r="A210" s="7" t="n"/>
      <c r="B210" s="8" t="n"/>
      <c r="C210" s="8" t="n"/>
      <c r="D210" s="8" t="n"/>
      <c r="E210" s="8" t="n"/>
      <c r="F210" s="9" t="n"/>
      <c r="G210" s="9" t="n"/>
      <c r="H210" s="8" t="n"/>
      <c r="I210" s="10">
        <f>IF(OR(F210&lt;&gt;"",G210&lt;&gt;""),ROUND(N(F210)+N(G210),2),"")</f>
        <v/>
      </c>
      <c r="J210" s="10">
        <f>IF(I210="","",IF(D210="Sostituto d'imposta",ROUND(I210*Parametri!$B$2,2),0))</f>
        <v/>
      </c>
      <c r="K210" s="11">
        <f>IF(I210="","",IF(I210&gt;Parametri!$B$4,"Si","No"))</f>
        <v/>
      </c>
      <c r="L210" s="10">
        <f>IF(I210="","",I210-J210+IF(AND(K210="Si",H210="Si"),Parametri!$B$3,0))</f>
        <v/>
      </c>
      <c r="M210" s="7" t="n"/>
      <c r="N210" s="9" t="n"/>
      <c r="O210" s="10">
        <f>IF(L210="","",ROUND(L210-N(N210),2))</f>
        <v/>
      </c>
      <c r="P210" s="8" t="n"/>
      <c r="Q210" s="8" t="n"/>
      <c r="R210" s="11">
        <f>IF(I210="","",IF(M210&lt;&gt;"",YEAR(M210),IF(A210&lt;&gt;"",YEAR(A210),"")))</f>
        <v/>
      </c>
      <c r="S210" s="11">
        <f>IF(I210="","",IF(M210&lt;&gt;"",MONTH(M210),IF(A210&lt;&gt;"",MONTH(A210),"")))</f>
        <v/>
      </c>
    </row>
    <row r="211">
      <c r="A211" s="7" t="n"/>
      <c r="B211" s="8" t="n"/>
      <c r="C211" s="8" t="n"/>
      <c r="D211" s="8" t="n"/>
      <c r="E211" s="8" t="n"/>
      <c r="F211" s="9" t="n"/>
      <c r="G211" s="9" t="n"/>
      <c r="H211" s="8" t="n"/>
      <c r="I211" s="10">
        <f>IF(OR(F211&lt;&gt;"",G211&lt;&gt;""),ROUND(N(F211)+N(G211),2),"")</f>
        <v/>
      </c>
      <c r="J211" s="10">
        <f>IF(I211="","",IF(D211="Sostituto d'imposta",ROUND(I211*Parametri!$B$2,2),0))</f>
        <v/>
      </c>
      <c r="K211" s="11">
        <f>IF(I211="","",IF(I211&gt;Parametri!$B$4,"Si","No"))</f>
        <v/>
      </c>
      <c r="L211" s="10">
        <f>IF(I211="","",I211-J211+IF(AND(K211="Si",H211="Si"),Parametri!$B$3,0))</f>
        <v/>
      </c>
      <c r="M211" s="7" t="n"/>
      <c r="N211" s="9" t="n"/>
      <c r="O211" s="10">
        <f>IF(L211="","",ROUND(L211-N(N211),2))</f>
        <v/>
      </c>
      <c r="P211" s="8" t="n"/>
      <c r="Q211" s="8" t="n"/>
      <c r="R211" s="11">
        <f>IF(I211="","",IF(M211&lt;&gt;"",YEAR(M211),IF(A211&lt;&gt;"",YEAR(A211),"")))</f>
        <v/>
      </c>
      <c r="S211" s="11">
        <f>IF(I211="","",IF(M211&lt;&gt;"",MONTH(M211),IF(A211&lt;&gt;"",MONTH(A211),"")))</f>
        <v/>
      </c>
    </row>
    <row r="212">
      <c r="A212" s="7" t="n"/>
      <c r="B212" s="8" t="n"/>
      <c r="C212" s="8" t="n"/>
      <c r="D212" s="8" t="n"/>
      <c r="E212" s="8" t="n"/>
      <c r="F212" s="9" t="n"/>
      <c r="G212" s="9" t="n"/>
      <c r="H212" s="8" t="n"/>
      <c r="I212" s="10">
        <f>IF(OR(F212&lt;&gt;"",G212&lt;&gt;""),ROUND(N(F212)+N(G212),2),"")</f>
        <v/>
      </c>
      <c r="J212" s="10">
        <f>IF(I212="","",IF(D212="Sostituto d'imposta",ROUND(I212*Parametri!$B$2,2),0))</f>
        <v/>
      </c>
      <c r="K212" s="11">
        <f>IF(I212="","",IF(I212&gt;Parametri!$B$4,"Si","No"))</f>
        <v/>
      </c>
      <c r="L212" s="10">
        <f>IF(I212="","",I212-J212+IF(AND(K212="Si",H212="Si"),Parametri!$B$3,0))</f>
        <v/>
      </c>
      <c r="M212" s="7" t="n"/>
      <c r="N212" s="9" t="n"/>
      <c r="O212" s="10">
        <f>IF(L212="","",ROUND(L212-N(N212),2))</f>
        <v/>
      </c>
      <c r="P212" s="8" t="n"/>
      <c r="Q212" s="8" t="n"/>
      <c r="R212" s="11">
        <f>IF(I212="","",IF(M212&lt;&gt;"",YEAR(M212),IF(A212&lt;&gt;"",YEAR(A212),"")))</f>
        <v/>
      </c>
      <c r="S212" s="11">
        <f>IF(I212="","",IF(M212&lt;&gt;"",MONTH(M212),IF(A212&lt;&gt;"",MONTH(A212),"")))</f>
        <v/>
      </c>
    </row>
    <row r="213">
      <c r="A213" s="7" t="n"/>
      <c r="B213" s="8" t="n"/>
      <c r="C213" s="8" t="n"/>
      <c r="D213" s="8" t="n"/>
      <c r="E213" s="8" t="n"/>
      <c r="F213" s="9" t="n"/>
      <c r="G213" s="9" t="n"/>
      <c r="H213" s="8" t="n"/>
      <c r="I213" s="10">
        <f>IF(OR(F213&lt;&gt;"",G213&lt;&gt;""),ROUND(N(F213)+N(G213),2),"")</f>
        <v/>
      </c>
      <c r="J213" s="10">
        <f>IF(I213="","",IF(D213="Sostituto d'imposta",ROUND(I213*Parametri!$B$2,2),0))</f>
        <v/>
      </c>
      <c r="K213" s="11">
        <f>IF(I213="","",IF(I213&gt;Parametri!$B$4,"Si","No"))</f>
        <v/>
      </c>
      <c r="L213" s="10">
        <f>IF(I213="","",I213-J213+IF(AND(K213="Si",H213="Si"),Parametri!$B$3,0))</f>
        <v/>
      </c>
      <c r="M213" s="7" t="n"/>
      <c r="N213" s="9" t="n"/>
      <c r="O213" s="10">
        <f>IF(L213="","",ROUND(L213-N(N213),2))</f>
        <v/>
      </c>
      <c r="P213" s="8" t="n"/>
      <c r="Q213" s="8" t="n"/>
      <c r="R213" s="11">
        <f>IF(I213="","",IF(M213&lt;&gt;"",YEAR(M213),IF(A213&lt;&gt;"",YEAR(A213),"")))</f>
        <v/>
      </c>
      <c r="S213" s="11">
        <f>IF(I213="","",IF(M213&lt;&gt;"",MONTH(M213),IF(A213&lt;&gt;"",MONTH(A213),"")))</f>
        <v/>
      </c>
    </row>
    <row r="214">
      <c r="A214" s="7" t="n"/>
      <c r="B214" s="8" t="n"/>
      <c r="C214" s="8" t="n"/>
      <c r="D214" s="8" t="n"/>
      <c r="E214" s="8" t="n"/>
      <c r="F214" s="9" t="n"/>
      <c r="G214" s="9" t="n"/>
      <c r="H214" s="8" t="n"/>
      <c r="I214" s="10">
        <f>IF(OR(F214&lt;&gt;"",G214&lt;&gt;""),ROUND(N(F214)+N(G214),2),"")</f>
        <v/>
      </c>
      <c r="J214" s="10">
        <f>IF(I214="","",IF(D214="Sostituto d'imposta",ROUND(I214*Parametri!$B$2,2),0))</f>
        <v/>
      </c>
      <c r="K214" s="11">
        <f>IF(I214="","",IF(I214&gt;Parametri!$B$4,"Si","No"))</f>
        <v/>
      </c>
      <c r="L214" s="10">
        <f>IF(I214="","",I214-J214+IF(AND(K214="Si",H214="Si"),Parametri!$B$3,0))</f>
        <v/>
      </c>
      <c r="M214" s="7" t="n"/>
      <c r="N214" s="9" t="n"/>
      <c r="O214" s="10">
        <f>IF(L214="","",ROUND(L214-N(N214),2))</f>
        <v/>
      </c>
      <c r="P214" s="8" t="n"/>
      <c r="Q214" s="8" t="n"/>
      <c r="R214" s="11">
        <f>IF(I214="","",IF(M214&lt;&gt;"",YEAR(M214),IF(A214&lt;&gt;"",YEAR(A214),"")))</f>
        <v/>
      </c>
      <c r="S214" s="11">
        <f>IF(I214="","",IF(M214&lt;&gt;"",MONTH(M214),IF(A214&lt;&gt;"",MONTH(A214),"")))</f>
        <v/>
      </c>
    </row>
    <row r="215">
      <c r="A215" s="7" t="n"/>
      <c r="B215" s="8" t="n"/>
      <c r="C215" s="8" t="n"/>
      <c r="D215" s="8" t="n"/>
      <c r="E215" s="8" t="n"/>
      <c r="F215" s="9" t="n"/>
      <c r="G215" s="9" t="n"/>
      <c r="H215" s="8" t="n"/>
      <c r="I215" s="10">
        <f>IF(OR(F215&lt;&gt;"",G215&lt;&gt;""),ROUND(N(F215)+N(G215),2),"")</f>
        <v/>
      </c>
      <c r="J215" s="10">
        <f>IF(I215="","",IF(D215="Sostituto d'imposta",ROUND(I215*Parametri!$B$2,2),0))</f>
        <v/>
      </c>
      <c r="K215" s="11">
        <f>IF(I215="","",IF(I215&gt;Parametri!$B$4,"Si","No"))</f>
        <v/>
      </c>
      <c r="L215" s="10">
        <f>IF(I215="","",I215-J215+IF(AND(K215="Si",H215="Si"),Parametri!$B$3,0))</f>
        <v/>
      </c>
      <c r="M215" s="7" t="n"/>
      <c r="N215" s="9" t="n"/>
      <c r="O215" s="10">
        <f>IF(L215="","",ROUND(L215-N(N215),2))</f>
        <v/>
      </c>
      <c r="P215" s="8" t="n"/>
      <c r="Q215" s="8" t="n"/>
      <c r="R215" s="11">
        <f>IF(I215="","",IF(M215&lt;&gt;"",YEAR(M215),IF(A215&lt;&gt;"",YEAR(A215),"")))</f>
        <v/>
      </c>
      <c r="S215" s="11">
        <f>IF(I215="","",IF(M215&lt;&gt;"",MONTH(M215),IF(A215&lt;&gt;"",MONTH(A215),"")))</f>
        <v/>
      </c>
    </row>
    <row r="216">
      <c r="A216" s="7" t="n"/>
      <c r="B216" s="8" t="n"/>
      <c r="C216" s="8" t="n"/>
      <c r="D216" s="8" t="n"/>
      <c r="E216" s="8" t="n"/>
      <c r="F216" s="9" t="n"/>
      <c r="G216" s="9" t="n"/>
      <c r="H216" s="8" t="n"/>
      <c r="I216" s="10">
        <f>IF(OR(F216&lt;&gt;"",G216&lt;&gt;""),ROUND(N(F216)+N(G216),2),"")</f>
        <v/>
      </c>
      <c r="J216" s="10">
        <f>IF(I216="","",IF(D216="Sostituto d'imposta",ROUND(I216*Parametri!$B$2,2),0))</f>
        <v/>
      </c>
      <c r="K216" s="11">
        <f>IF(I216="","",IF(I216&gt;Parametri!$B$4,"Si","No"))</f>
        <v/>
      </c>
      <c r="L216" s="10">
        <f>IF(I216="","",I216-J216+IF(AND(K216="Si",H216="Si"),Parametri!$B$3,0))</f>
        <v/>
      </c>
      <c r="M216" s="7" t="n"/>
      <c r="N216" s="9" t="n"/>
      <c r="O216" s="10">
        <f>IF(L216="","",ROUND(L216-N(N216),2))</f>
        <v/>
      </c>
      <c r="P216" s="8" t="n"/>
      <c r="Q216" s="8" t="n"/>
      <c r="R216" s="11">
        <f>IF(I216="","",IF(M216&lt;&gt;"",YEAR(M216),IF(A216&lt;&gt;"",YEAR(A216),"")))</f>
        <v/>
      </c>
      <c r="S216" s="11">
        <f>IF(I216="","",IF(M216&lt;&gt;"",MONTH(M216),IF(A216&lt;&gt;"",MONTH(A216),"")))</f>
        <v/>
      </c>
    </row>
    <row r="217">
      <c r="A217" s="7" t="n"/>
      <c r="B217" s="8" t="n"/>
      <c r="C217" s="8" t="n"/>
      <c r="D217" s="8" t="n"/>
      <c r="E217" s="8" t="n"/>
      <c r="F217" s="9" t="n"/>
      <c r="G217" s="9" t="n"/>
      <c r="H217" s="8" t="n"/>
      <c r="I217" s="10">
        <f>IF(OR(F217&lt;&gt;"",G217&lt;&gt;""),ROUND(N(F217)+N(G217),2),"")</f>
        <v/>
      </c>
      <c r="J217" s="10">
        <f>IF(I217="","",IF(D217="Sostituto d'imposta",ROUND(I217*Parametri!$B$2,2),0))</f>
        <v/>
      </c>
      <c r="K217" s="11">
        <f>IF(I217="","",IF(I217&gt;Parametri!$B$4,"Si","No"))</f>
        <v/>
      </c>
      <c r="L217" s="10">
        <f>IF(I217="","",I217-J217+IF(AND(K217="Si",H217="Si"),Parametri!$B$3,0))</f>
        <v/>
      </c>
      <c r="M217" s="7" t="n"/>
      <c r="N217" s="9" t="n"/>
      <c r="O217" s="10">
        <f>IF(L217="","",ROUND(L217-N(N217),2))</f>
        <v/>
      </c>
      <c r="P217" s="8" t="n"/>
      <c r="Q217" s="8" t="n"/>
      <c r="R217" s="11">
        <f>IF(I217="","",IF(M217&lt;&gt;"",YEAR(M217),IF(A217&lt;&gt;"",YEAR(A217),"")))</f>
        <v/>
      </c>
      <c r="S217" s="11">
        <f>IF(I217="","",IF(M217&lt;&gt;"",MONTH(M217),IF(A217&lt;&gt;"",MONTH(A217),"")))</f>
        <v/>
      </c>
    </row>
    <row r="218">
      <c r="A218" s="7" t="n"/>
      <c r="B218" s="8" t="n"/>
      <c r="C218" s="8" t="n"/>
      <c r="D218" s="8" t="n"/>
      <c r="E218" s="8" t="n"/>
      <c r="F218" s="9" t="n"/>
      <c r="G218" s="9" t="n"/>
      <c r="H218" s="8" t="n"/>
      <c r="I218" s="10">
        <f>IF(OR(F218&lt;&gt;"",G218&lt;&gt;""),ROUND(N(F218)+N(G218),2),"")</f>
        <v/>
      </c>
      <c r="J218" s="10">
        <f>IF(I218="","",IF(D218="Sostituto d'imposta",ROUND(I218*Parametri!$B$2,2),0))</f>
        <v/>
      </c>
      <c r="K218" s="11">
        <f>IF(I218="","",IF(I218&gt;Parametri!$B$4,"Si","No"))</f>
        <v/>
      </c>
      <c r="L218" s="10">
        <f>IF(I218="","",I218-J218+IF(AND(K218="Si",H218="Si"),Parametri!$B$3,0))</f>
        <v/>
      </c>
      <c r="M218" s="7" t="n"/>
      <c r="N218" s="9" t="n"/>
      <c r="O218" s="10">
        <f>IF(L218="","",ROUND(L218-N(N218),2))</f>
        <v/>
      </c>
      <c r="P218" s="8" t="n"/>
      <c r="Q218" s="8" t="n"/>
      <c r="R218" s="11">
        <f>IF(I218="","",IF(M218&lt;&gt;"",YEAR(M218),IF(A218&lt;&gt;"",YEAR(A218),"")))</f>
        <v/>
      </c>
      <c r="S218" s="11">
        <f>IF(I218="","",IF(M218&lt;&gt;"",MONTH(M218),IF(A218&lt;&gt;"",MONTH(A218),"")))</f>
        <v/>
      </c>
    </row>
    <row r="219">
      <c r="A219" s="7" t="n"/>
      <c r="B219" s="8" t="n"/>
      <c r="C219" s="8" t="n"/>
      <c r="D219" s="8" t="n"/>
      <c r="E219" s="8" t="n"/>
      <c r="F219" s="9" t="n"/>
      <c r="G219" s="9" t="n"/>
      <c r="H219" s="8" t="n"/>
      <c r="I219" s="10">
        <f>IF(OR(F219&lt;&gt;"",G219&lt;&gt;""),ROUND(N(F219)+N(G219),2),"")</f>
        <v/>
      </c>
      <c r="J219" s="10">
        <f>IF(I219="","",IF(D219="Sostituto d'imposta",ROUND(I219*Parametri!$B$2,2),0))</f>
        <v/>
      </c>
      <c r="K219" s="11">
        <f>IF(I219="","",IF(I219&gt;Parametri!$B$4,"Si","No"))</f>
        <v/>
      </c>
      <c r="L219" s="10">
        <f>IF(I219="","",I219-J219+IF(AND(K219="Si",H219="Si"),Parametri!$B$3,0))</f>
        <v/>
      </c>
      <c r="M219" s="7" t="n"/>
      <c r="N219" s="9" t="n"/>
      <c r="O219" s="10">
        <f>IF(L219="","",ROUND(L219-N(N219),2))</f>
        <v/>
      </c>
      <c r="P219" s="8" t="n"/>
      <c r="Q219" s="8" t="n"/>
      <c r="R219" s="11">
        <f>IF(I219="","",IF(M219&lt;&gt;"",YEAR(M219),IF(A219&lt;&gt;"",YEAR(A219),"")))</f>
        <v/>
      </c>
      <c r="S219" s="11">
        <f>IF(I219="","",IF(M219&lt;&gt;"",MONTH(M219),IF(A219&lt;&gt;"",MONTH(A219),"")))</f>
        <v/>
      </c>
    </row>
    <row r="220">
      <c r="A220" s="7" t="n"/>
      <c r="B220" s="8" t="n"/>
      <c r="C220" s="8" t="n"/>
      <c r="D220" s="8" t="n"/>
      <c r="E220" s="8" t="n"/>
      <c r="F220" s="9" t="n"/>
      <c r="G220" s="9" t="n"/>
      <c r="H220" s="8" t="n"/>
      <c r="I220" s="10">
        <f>IF(OR(F220&lt;&gt;"",G220&lt;&gt;""),ROUND(N(F220)+N(G220),2),"")</f>
        <v/>
      </c>
      <c r="J220" s="10">
        <f>IF(I220="","",IF(D220="Sostituto d'imposta",ROUND(I220*Parametri!$B$2,2),0))</f>
        <v/>
      </c>
      <c r="K220" s="11">
        <f>IF(I220="","",IF(I220&gt;Parametri!$B$4,"Si","No"))</f>
        <v/>
      </c>
      <c r="L220" s="10">
        <f>IF(I220="","",I220-J220+IF(AND(K220="Si",H220="Si"),Parametri!$B$3,0))</f>
        <v/>
      </c>
      <c r="M220" s="7" t="n"/>
      <c r="N220" s="9" t="n"/>
      <c r="O220" s="10">
        <f>IF(L220="","",ROUND(L220-N(N220),2))</f>
        <v/>
      </c>
      <c r="P220" s="8" t="n"/>
      <c r="Q220" s="8" t="n"/>
      <c r="R220" s="11">
        <f>IF(I220="","",IF(M220&lt;&gt;"",YEAR(M220),IF(A220&lt;&gt;"",YEAR(A220),"")))</f>
        <v/>
      </c>
      <c r="S220" s="11">
        <f>IF(I220="","",IF(M220&lt;&gt;"",MONTH(M220),IF(A220&lt;&gt;"",MONTH(A220),"")))</f>
        <v/>
      </c>
    </row>
    <row r="221">
      <c r="A221" s="7" t="n"/>
      <c r="B221" s="8" t="n"/>
      <c r="C221" s="8" t="n"/>
      <c r="D221" s="8" t="n"/>
      <c r="E221" s="8" t="n"/>
      <c r="F221" s="9" t="n"/>
      <c r="G221" s="9" t="n"/>
      <c r="H221" s="8" t="n"/>
      <c r="I221" s="10">
        <f>IF(OR(F221&lt;&gt;"",G221&lt;&gt;""),ROUND(N(F221)+N(G221),2),"")</f>
        <v/>
      </c>
      <c r="J221" s="10">
        <f>IF(I221="","",IF(D221="Sostituto d'imposta",ROUND(I221*Parametri!$B$2,2),0))</f>
        <v/>
      </c>
      <c r="K221" s="11">
        <f>IF(I221="","",IF(I221&gt;Parametri!$B$4,"Si","No"))</f>
        <v/>
      </c>
      <c r="L221" s="10">
        <f>IF(I221="","",I221-J221+IF(AND(K221="Si",H221="Si"),Parametri!$B$3,0))</f>
        <v/>
      </c>
      <c r="M221" s="7" t="n"/>
      <c r="N221" s="9" t="n"/>
      <c r="O221" s="10">
        <f>IF(L221="","",ROUND(L221-N(N221),2))</f>
        <v/>
      </c>
      <c r="P221" s="8" t="n"/>
      <c r="Q221" s="8" t="n"/>
      <c r="R221" s="11">
        <f>IF(I221="","",IF(M221&lt;&gt;"",YEAR(M221),IF(A221&lt;&gt;"",YEAR(A221),"")))</f>
        <v/>
      </c>
      <c r="S221" s="11">
        <f>IF(I221="","",IF(M221&lt;&gt;"",MONTH(M221),IF(A221&lt;&gt;"",MONTH(A221),"")))</f>
        <v/>
      </c>
    </row>
    <row r="222">
      <c r="A222" s="7" t="n"/>
      <c r="B222" s="8" t="n"/>
      <c r="C222" s="8" t="n"/>
      <c r="D222" s="8" t="n"/>
      <c r="E222" s="8" t="n"/>
      <c r="F222" s="9" t="n"/>
      <c r="G222" s="9" t="n"/>
      <c r="H222" s="8" t="n"/>
      <c r="I222" s="10">
        <f>IF(OR(F222&lt;&gt;"",G222&lt;&gt;""),ROUND(N(F222)+N(G222),2),"")</f>
        <v/>
      </c>
      <c r="J222" s="10">
        <f>IF(I222="","",IF(D222="Sostituto d'imposta",ROUND(I222*Parametri!$B$2,2),0))</f>
        <v/>
      </c>
      <c r="K222" s="11">
        <f>IF(I222="","",IF(I222&gt;Parametri!$B$4,"Si","No"))</f>
        <v/>
      </c>
      <c r="L222" s="10">
        <f>IF(I222="","",I222-J222+IF(AND(K222="Si",H222="Si"),Parametri!$B$3,0))</f>
        <v/>
      </c>
      <c r="M222" s="7" t="n"/>
      <c r="N222" s="9" t="n"/>
      <c r="O222" s="10">
        <f>IF(L222="","",ROUND(L222-N(N222),2))</f>
        <v/>
      </c>
      <c r="P222" s="8" t="n"/>
      <c r="Q222" s="8" t="n"/>
      <c r="R222" s="11">
        <f>IF(I222="","",IF(M222&lt;&gt;"",YEAR(M222),IF(A222&lt;&gt;"",YEAR(A222),"")))</f>
        <v/>
      </c>
      <c r="S222" s="11">
        <f>IF(I222="","",IF(M222&lt;&gt;"",MONTH(M222),IF(A222&lt;&gt;"",MONTH(A222),"")))</f>
        <v/>
      </c>
    </row>
    <row r="223">
      <c r="A223" s="7" t="n"/>
      <c r="B223" s="8" t="n"/>
      <c r="C223" s="8" t="n"/>
      <c r="D223" s="8" t="n"/>
      <c r="E223" s="8" t="n"/>
      <c r="F223" s="9" t="n"/>
      <c r="G223" s="9" t="n"/>
      <c r="H223" s="8" t="n"/>
      <c r="I223" s="10">
        <f>IF(OR(F223&lt;&gt;"",G223&lt;&gt;""),ROUND(N(F223)+N(G223),2),"")</f>
        <v/>
      </c>
      <c r="J223" s="10">
        <f>IF(I223="","",IF(D223="Sostituto d'imposta",ROUND(I223*Parametri!$B$2,2),0))</f>
        <v/>
      </c>
      <c r="K223" s="11">
        <f>IF(I223="","",IF(I223&gt;Parametri!$B$4,"Si","No"))</f>
        <v/>
      </c>
      <c r="L223" s="10">
        <f>IF(I223="","",I223-J223+IF(AND(K223="Si",H223="Si"),Parametri!$B$3,0))</f>
        <v/>
      </c>
      <c r="M223" s="7" t="n"/>
      <c r="N223" s="9" t="n"/>
      <c r="O223" s="10">
        <f>IF(L223="","",ROUND(L223-N(N223),2))</f>
        <v/>
      </c>
      <c r="P223" s="8" t="n"/>
      <c r="Q223" s="8" t="n"/>
      <c r="R223" s="11">
        <f>IF(I223="","",IF(M223&lt;&gt;"",YEAR(M223),IF(A223&lt;&gt;"",YEAR(A223),"")))</f>
        <v/>
      </c>
      <c r="S223" s="11">
        <f>IF(I223="","",IF(M223&lt;&gt;"",MONTH(M223),IF(A223&lt;&gt;"",MONTH(A223),"")))</f>
        <v/>
      </c>
    </row>
    <row r="224">
      <c r="A224" s="7" t="n"/>
      <c r="B224" s="8" t="n"/>
      <c r="C224" s="8" t="n"/>
      <c r="D224" s="8" t="n"/>
      <c r="E224" s="8" t="n"/>
      <c r="F224" s="9" t="n"/>
      <c r="G224" s="9" t="n"/>
      <c r="H224" s="8" t="n"/>
      <c r="I224" s="10">
        <f>IF(OR(F224&lt;&gt;"",G224&lt;&gt;""),ROUND(N(F224)+N(G224),2),"")</f>
        <v/>
      </c>
      <c r="J224" s="10">
        <f>IF(I224="","",IF(D224="Sostituto d'imposta",ROUND(I224*Parametri!$B$2,2),0))</f>
        <v/>
      </c>
      <c r="K224" s="11">
        <f>IF(I224="","",IF(I224&gt;Parametri!$B$4,"Si","No"))</f>
        <v/>
      </c>
      <c r="L224" s="10">
        <f>IF(I224="","",I224-J224+IF(AND(K224="Si",H224="Si"),Parametri!$B$3,0))</f>
        <v/>
      </c>
      <c r="M224" s="7" t="n"/>
      <c r="N224" s="9" t="n"/>
      <c r="O224" s="10">
        <f>IF(L224="","",ROUND(L224-N(N224),2))</f>
        <v/>
      </c>
      <c r="P224" s="8" t="n"/>
      <c r="Q224" s="8" t="n"/>
      <c r="R224" s="11">
        <f>IF(I224="","",IF(M224&lt;&gt;"",YEAR(M224),IF(A224&lt;&gt;"",YEAR(A224),"")))</f>
        <v/>
      </c>
      <c r="S224" s="11">
        <f>IF(I224="","",IF(M224&lt;&gt;"",MONTH(M224),IF(A224&lt;&gt;"",MONTH(A224),"")))</f>
        <v/>
      </c>
    </row>
    <row r="225">
      <c r="A225" s="7" t="n"/>
      <c r="B225" s="8" t="n"/>
      <c r="C225" s="8" t="n"/>
      <c r="D225" s="8" t="n"/>
      <c r="E225" s="8" t="n"/>
      <c r="F225" s="9" t="n"/>
      <c r="G225" s="9" t="n"/>
      <c r="H225" s="8" t="n"/>
      <c r="I225" s="10">
        <f>IF(OR(F225&lt;&gt;"",G225&lt;&gt;""),ROUND(N(F225)+N(G225),2),"")</f>
        <v/>
      </c>
      <c r="J225" s="10">
        <f>IF(I225="","",IF(D225="Sostituto d'imposta",ROUND(I225*Parametri!$B$2,2),0))</f>
        <v/>
      </c>
      <c r="K225" s="11">
        <f>IF(I225="","",IF(I225&gt;Parametri!$B$4,"Si","No"))</f>
        <v/>
      </c>
      <c r="L225" s="10">
        <f>IF(I225="","",I225-J225+IF(AND(K225="Si",H225="Si"),Parametri!$B$3,0))</f>
        <v/>
      </c>
      <c r="M225" s="7" t="n"/>
      <c r="N225" s="9" t="n"/>
      <c r="O225" s="10">
        <f>IF(L225="","",ROUND(L225-N(N225),2))</f>
        <v/>
      </c>
      <c r="P225" s="8" t="n"/>
      <c r="Q225" s="8" t="n"/>
      <c r="R225" s="11">
        <f>IF(I225="","",IF(M225&lt;&gt;"",YEAR(M225),IF(A225&lt;&gt;"",YEAR(A225),"")))</f>
        <v/>
      </c>
      <c r="S225" s="11">
        <f>IF(I225="","",IF(M225&lt;&gt;"",MONTH(M225),IF(A225&lt;&gt;"",MONTH(A225),"")))</f>
        <v/>
      </c>
    </row>
    <row r="226">
      <c r="A226" s="7" t="n"/>
      <c r="B226" s="8" t="n"/>
      <c r="C226" s="8" t="n"/>
      <c r="D226" s="8" t="n"/>
      <c r="E226" s="8" t="n"/>
      <c r="F226" s="9" t="n"/>
      <c r="G226" s="9" t="n"/>
      <c r="H226" s="8" t="n"/>
      <c r="I226" s="10">
        <f>IF(OR(F226&lt;&gt;"",G226&lt;&gt;""),ROUND(N(F226)+N(G226),2),"")</f>
        <v/>
      </c>
      <c r="J226" s="10">
        <f>IF(I226="","",IF(D226="Sostituto d'imposta",ROUND(I226*Parametri!$B$2,2),0))</f>
        <v/>
      </c>
      <c r="K226" s="11">
        <f>IF(I226="","",IF(I226&gt;Parametri!$B$4,"Si","No"))</f>
        <v/>
      </c>
      <c r="L226" s="10">
        <f>IF(I226="","",I226-J226+IF(AND(K226="Si",H226="Si"),Parametri!$B$3,0))</f>
        <v/>
      </c>
      <c r="M226" s="7" t="n"/>
      <c r="N226" s="9" t="n"/>
      <c r="O226" s="10">
        <f>IF(L226="","",ROUND(L226-N(N226),2))</f>
        <v/>
      </c>
      <c r="P226" s="8" t="n"/>
      <c r="Q226" s="8" t="n"/>
      <c r="R226" s="11">
        <f>IF(I226="","",IF(M226&lt;&gt;"",YEAR(M226),IF(A226&lt;&gt;"",YEAR(A226),"")))</f>
        <v/>
      </c>
      <c r="S226" s="11">
        <f>IF(I226="","",IF(M226&lt;&gt;"",MONTH(M226),IF(A226&lt;&gt;"",MONTH(A226),"")))</f>
        <v/>
      </c>
    </row>
    <row r="227">
      <c r="A227" s="7" t="n"/>
      <c r="B227" s="8" t="n"/>
      <c r="C227" s="8" t="n"/>
      <c r="D227" s="8" t="n"/>
      <c r="E227" s="8" t="n"/>
      <c r="F227" s="9" t="n"/>
      <c r="G227" s="9" t="n"/>
      <c r="H227" s="8" t="n"/>
      <c r="I227" s="10">
        <f>IF(OR(F227&lt;&gt;"",G227&lt;&gt;""),ROUND(N(F227)+N(G227),2),"")</f>
        <v/>
      </c>
      <c r="J227" s="10">
        <f>IF(I227="","",IF(D227="Sostituto d'imposta",ROUND(I227*Parametri!$B$2,2),0))</f>
        <v/>
      </c>
      <c r="K227" s="11">
        <f>IF(I227="","",IF(I227&gt;Parametri!$B$4,"Si","No"))</f>
        <v/>
      </c>
      <c r="L227" s="10">
        <f>IF(I227="","",I227-J227+IF(AND(K227="Si",H227="Si"),Parametri!$B$3,0))</f>
        <v/>
      </c>
      <c r="M227" s="7" t="n"/>
      <c r="N227" s="9" t="n"/>
      <c r="O227" s="10">
        <f>IF(L227="","",ROUND(L227-N(N227),2))</f>
        <v/>
      </c>
      <c r="P227" s="8" t="n"/>
      <c r="Q227" s="8" t="n"/>
      <c r="R227" s="11">
        <f>IF(I227="","",IF(M227&lt;&gt;"",YEAR(M227),IF(A227&lt;&gt;"",YEAR(A227),"")))</f>
        <v/>
      </c>
      <c r="S227" s="11">
        <f>IF(I227="","",IF(M227&lt;&gt;"",MONTH(M227),IF(A227&lt;&gt;"",MONTH(A227),"")))</f>
        <v/>
      </c>
    </row>
    <row r="228">
      <c r="A228" s="7" t="n"/>
      <c r="B228" s="8" t="n"/>
      <c r="C228" s="8" t="n"/>
      <c r="D228" s="8" t="n"/>
      <c r="E228" s="8" t="n"/>
      <c r="F228" s="9" t="n"/>
      <c r="G228" s="9" t="n"/>
      <c r="H228" s="8" t="n"/>
      <c r="I228" s="10">
        <f>IF(OR(F228&lt;&gt;"",G228&lt;&gt;""),ROUND(N(F228)+N(G228),2),"")</f>
        <v/>
      </c>
      <c r="J228" s="10">
        <f>IF(I228="","",IF(D228="Sostituto d'imposta",ROUND(I228*Parametri!$B$2,2),0))</f>
        <v/>
      </c>
      <c r="K228" s="11">
        <f>IF(I228="","",IF(I228&gt;Parametri!$B$4,"Si","No"))</f>
        <v/>
      </c>
      <c r="L228" s="10">
        <f>IF(I228="","",I228-J228+IF(AND(K228="Si",H228="Si"),Parametri!$B$3,0))</f>
        <v/>
      </c>
      <c r="M228" s="7" t="n"/>
      <c r="N228" s="9" t="n"/>
      <c r="O228" s="10">
        <f>IF(L228="","",ROUND(L228-N(N228),2))</f>
        <v/>
      </c>
      <c r="P228" s="8" t="n"/>
      <c r="Q228" s="8" t="n"/>
      <c r="R228" s="11">
        <f>IF(I228="","",IF(M228&lt;&gt;"",YEAR(M228),IF(A228&lt;&gt;"",YEAR(A228),"")))</f>
        <v/>
      </c>
      <c r="S228" s="11">
        <f>IF(I228="","",IF(M228&lt;&gt;"",MONTH(M228),IF(A228&lt;&gt;"",MONTH(A228),"")))</f>
        <v/>
      </c>
    </row>
    <row r="229">
      <c r="A229" s="7" t="n"/>
      <c r="B229" s="8" t="n"/>
      <c r="C229" s="8" t="n"/>
      <c r="D229" s="8" t="n"/>
      <c r="E229" s="8" t="n"/>
      <c r="F229" s="9" t="n"/>
      <c r="G229" s="9" t="n"/>
      <c r="H229" s="8" t="n"/>
      <c r="I229" s="10">
        <f>IF(OR(F229&lt;&gt;"",G229&lt;&gt;""),ROUND(N(F229)+N(G229),2),"")</f>
        <v/>
      </c>
      <c r="J229" s="10">
        <f>IF(I229="","",IF(D229="Sostituto d'imposta",ROUND(I229*Parametri!$B$2,2),0))</f>
        <v/>
      </c>
      <c r="K229" s="11">
        <f>IF(I229="","",IF(I229&gt;Parametri!$B$4,"Si","No"))</f>
        <v/>
      </c>
      <c r="L229" s="10">
        <f>IF(I229="","",I229-J229+IF(AND(K229="Si",H229="Si"),Parametri!$B$3,0))</f>
        <v/>
      </c>
      <c r="M229" s="7" t="n"/>
      <c r="N229" s="9" t="n"/>
      <c r="O229" s="10">
        <f>IF(L229="","",ROUND(L229-N(N229),2))</f>
        <v/>
      </c>
      <c r="P229" s="8" t="n"/>
      <c r="Q229" s="8" t="n"/>
      <c r="R229" s="11">
        <f>IF(I229="","",IF(M229&lt;&gt;"",YEAR(M229),IF(A229&lt;&gt;"",YEAR(A229),"")))</f>
        <v/>
      </c>
      <c r="S229" s="11">
        <f>IF(I229="","",IF(M229&lt;&gt;"",MONTH(M229),IF(A229&lt;&gt;"",MONTH(A229),"")))</f>
        <v/>
      </c>
    </row>
    <row r="230">
      <c r="A230" s="7" t="n"/>
      <c r="B230" s="8" t="n"/>
      <c r="C230" s="8" t="n"/>
      <c r="D230" s="8" t="n"/>
      <c r="E230" s="8" t="n"/>
      <c r="F230" s="9" t="n"/>
      <c r="G230" s="9" t="n"/>
      <c r="H230" s="8" t="n"/>
      <c r="I230" s="10">
        <f>IF(OR(F230&lt;&gt;"",G230&lt;&gt;""),ROUND(N(F230)+N(G230),2),"")</f>
        <v/>
      </c>
      <c r="J230" s="10">
        <f>IF(I230="","",IF(D230="Sostituto d'imposta",ROUND(I230*Parametri!$B$2,2),0))</f>
        <v/>
      </c>
      <c r="K230" s="11">
        <f>IF(I230="","",IF(I230&gt;Parametri!$B$4,"Si","No"))</f>
        <v/>
      </c>
      <c r="L230" s="10">
        <f>IF(I230="","",I230-J230+IF(AND(K230="Si",H230="Si"),Parametri!$B$3,0))</f>
        <v/>
      </c>
      <c r="M230" s="7" t="n"/>
      <c r="N230" s="9" t="n"/>
      <c r="O230" s="10">
        <f>IF(L230="","",ROUND(L230-N(N230),2))</f>
        <v/>
      </c>
      <c r="P230" s="8" t="n"/>
      <c r="Q230" s="8" t="n"/>
      <c r="R230" s="11">
        <f>IF(I230="","",IF(M230&lt;&gt;"",YEAR(M230),IF(A230&lt;&gt;"",YEAR(A230),"")))</f>
        <v/>
      </c>
      <c r="S230" s="11">
        <f>IF(I230="","",IF(M230&lt;&gt;"",MONTH(M230),IF(A230&lt;&gt;"",MONTH(A230),"")))</f>
        <v/>
      </c>
    </row>
    <row r="231">
      <c r="A231" s="7" t="n"/>
      <c r="B231" s="8" t="n"/>
      <c r="C231" s="8" t="n"/>
      <c r="D231" s="8" t="n"/>
      <c r="E231" s="8" t="n"/>
      <c r="F231" s="9" t="n"/>
      <c r="G231" s="9" t="n"/>
      <c r="H231" s="8" t="n"/>
      <c r="I231" s="10">
        <f>IF(OR(F231&lt;&gt;"",G231&lt;&gt;""),ROUND(N(F231)+N(G231),2),"")</f>
        <v/>
      </c>
      <c r="J231" s="10">
        <f>IF(I231="","",IF(D231="Sostituto d'imposta",ROUND(I231*Parametri!$B$2,2),0))</f>
        <v/>
      </c>
      <c r="K231" s="11">
        <f>IF(I231="","",IF(I231&gt;Parametri!$B$4,"Si","No"))</f>
        <v/>
      </c>
      <c r="L231" s="10">
        <f>IF(I231="","",I231-J231+IF(AND(K231="Si",H231="Si"),Parametri!$B$3,0))</f>
        <v/>
      </c>
      <c r="M231" s="7" t="n"/>
      <c r="N231" s="9" t="n"/>
      <c r="O231" s="10">
        <f>IF(L231="","",ROUND(L231-N(N231),2))</f>
        <v/>
      </c>
      <c r="P231" s="8" t="n"/>
      <c r="Q231" s="8" t="n"/>
      <c r="R231" s="11">
        <f>IF(I231="","",IF(M231&lt;&gt;"",YEAR(M231),IF(A231&lt;&gt;"",YEAR(A231),"")))</f>
        <v/>
      </c>
      <c r="S231" s="11">
        <f>IF(I231="","",IF(M231&lt;&gt;"",MONTH(M231),IF(A231&lt;&gt;"",MONTH(A231),"")))</f>
        <v/>
      </c>
    </row>
    <row r="232">
      <c r="A232" s="7" t="n"/>
      <c r="B232" s="8" t="n"/>
      <c r="C232" s="8" t="n"/>
      <c r="D232" s="8" t="n"/>
      <c r="E232" s="8" t="n"/>
      <c r="F232" s="9" t="n"/>
      <c r="G232" s="9" t="n"/>
      <c r="H232" s="8" t="n"/>
      <c r="I232" s="10">
        <f>IF(OR(F232&lt;&gt;"",G232&lt;&gt;""),ROUND(N(F232)+N(G232),2),"")</f>
        <v/>
      </c>
      <c r="J232" s="10">
        <f>IF(I232="","",IF(D232="Sostituto d'imposta",ROUND(I232*Parametri!$B$2,2),0))</f>
        <v/>
      </c>
      <c r="K232" s="11">
        <f>IF(I232="","",IF(I232&gt;Parametri!$B$4,"Si","No"))</f>
        <v/>
      </c>
      <c r="L232" s="10">
        <f>IF(I232="","",I232-J232+IF(AND(K232="Si",H232="Si"),Parametri!$B$3,0))</f>
        <v/>
      </c>
      <c r="M232" s="7" t="n"/>
      <c r="N232" s="9" t="n"/>
      <c r="O232" s="10">
        <f>IF(L232="","",ROUND(L232-N(N232),2))</f>
        <v/>
      </c>
      <c r="P232" s="8" t="n"/>
      <c r="Q232" s="8" t="n"/>
      <c r="R232" s="11">
        <f>IF(I232="","",IF(M232&lt;&gt;"",YEAR(M232),IF(A232&lt;&gt;"",YEAR(A232),"")))</f>
        <v/>
      </c>
      <c r="S232" s="11">
        <f>IF(I232="","",IF(M232&lt;&gt;"",MONTH(M232),IF(A232&lt;&gt;"",MONTH(A232),"")))</f>
        <v/>
      </c>
    </row>
    <row r="233">
      <c r="A233" s="7" t="n"/>
      <c r="B233" s="8" t="n"/>
      <c r="C233" s="8" t="n"/>
      <c r="D233" s="8" t="n"/>
      <c r="E233" s="8" t="n"/>
      <c r="F233" s="9" t="n"/>
      <c r="G233" s="9" t="n"/>
      <c r="H233" s="8" t="n"/>
      <c r="I233" s="10">
        <f>IF(OR(F233&lt;&gt;"",G233&lt;&gt;""),ROUND(N(F233)+N(G233),2),"")</f>
        <v/>
      </c>
      <c r="J233" s="10">
        <f>IF(I233="","",IF(D233="Sostituto d'imposta",ROUND(I233*Parametri!$B$2,2),0))</f>
        <v/>
      </c>
      <c r="K233" s="11">
        <f>IF(I233="","",IF(I233&gt;Parametri!$B$4,"Si","No"))</f>
        <v/>
      </c>
      <c r="L233" s="10">
        <f>IF(I233="","",I233-J233+IF(AND(K233="Si",H233="Si"),Parametri!$B$3,0))</f>
        <v/>
      </c>
      <c r="M233" s="7" t="n"/>
      <c r="N233" s="9" t="n"/>
      <c r="O233" s="10">
        <f>IF(L233="","",ROUND(L233-N(N233),2))</f>
        <v/>
      </c>
      <c r="P233" s="8" t="n"/>
      <c r="Q233" s="8" t="n"/>
      <c r="R233" s="11">
        <f>IF(I233="","",IF(M233&lt;&gt;"",YEAR(M233),IF(A233&lt;&gt;"",YEAR(A233),"")))</f>
        <v/>
      </c>
      <c r="S233" s="11">
        <f>IF(I233="","",IF(M233&lt;&gt;"",MONTH(M233),IF(A233&lt;&gt;"",MONTH(A233),"")))</f>
        <v/>
      </c>
    </row>
    <row r="234">
      <c r="A234" s="7" t="n"/>
      <c r="B234" s="8" t="n"/>
      <c r="C234" s="8" t="n"/>
      <c r="D234" s="8" t="n"/>
      <c r="E234" s="8" t="n"/>
      <c r="F234" s="9" t="n"/>
      <c r="G234" s="9" t="n"/>
      <c r="H234" s="8" t="n"/>
      <c r="I234" s="10">
        <f>IF(OR(F234&lt;&gt;"",G234&lt;&gt;""),ROUND(N(F234)+N(G234),2),"")</f>
        <v/>
      </c>
      <c r="J234" s="10">
        <f>IF(I234="","",IF(D234="Sostituto d'imposta",ROUND(I234*Parametri!$B$2,2),0))</f>
        <v/>
      </c>
      <c r="K234" s="11">
        <f>IF(I234="","",IF(I234&gt;Parametri!$B$4,"Si","No"))</f>
        <v/>
      </c>
      <c r="L234" s="10">
        <f>IF(I234="","",I234-J234+IF(AND(K234="Si",H234="Si"),Parametri!$B$3,0))</f>
        <v/>
      </c>
      <c r="M234" s="7" t="n"/>
      <c r="N234" s="9" t="n"/>
      <c r="O234" s="10">
        <f>IF(L234="","",ROUND(L234-N(N234),2))</f>
        <v/>
      </c>
      <c r="P234" s="8" t="n"/>
      <c r="Q234" s="8" t="n"/>
      <c r="R234" s="11">
        <f>IF(I234="","",IF(M234&lt;&gt;"",YEAR(M234),IF(A234&lt;&gt;"",YEAR(A234),"")))</f>
        <v/>
      </c>
      <c r="S234" s="11">
        <f>IF(I234="","",IF(M234&lt;&gt;"",MONTH(M234),IF(A234&lt;&gt;"",MONTH(A234),"")))</f>
        <v/>
      </c>
    </row>
    <row r="235">
      <c r="A235" s="7" t="n"/>
      <c r="B235" s="8" t="n"/>
      <c r="C235" s="8" t="n"/>
      <c r="D235" s="8" t="n"/>
      <c r="E235" s="8" t="n"/>
      <c r="F235" s="9" t="n"/>
      <c r="G235" s="9" t="n"/>
      <c r="H235" s="8" t="n"/>
      <c r="I235" s="10">
        <f>IF(OR(F235&lt;&gt;"",G235&lt;&gt;""),ROUND(N(F235)+N(G235),2),"")</f>
        <v/>
      </c>
      <c r="J235" s="10">
        <f>IF(I235="","",IF(D235="Sostituto d'imposta",ROUND(I235*Parametri!$B$2,2),0))</f>
        <v/>
      </c>
      <c r="K235" s="11">
        <f>IF(I235="","",IF(I235&gt;Parametri!$B$4,"Si","No"))</f>
        <v/>
      </c>
      <c r="L235" s="10">
        <f>IF(I235="","",I235-J235+IF(AND(K235="Si",H235="Si"),Parametri!$B$3,0))</f>
        <v/>
      </c>
      <c r="M235" s="7" t="n"/>
      <c r="N235" s="9" t="n"/>
      <c r="O235" s="10">
        <f>IF(L235="","",ROUND(L235-N(N235),2))</f>
        <v/>
      </c>
      <c r="P235" s="8" t="n"/>
      <c r="Q235" s="8" t="n"/>
      <c r="R235" s="11">
        <f>IF(I235="","",IF(M235&lt;&gt;"",YEAR(M235),IF(A235&lt;&gt;"",YEAR(A235),"")))</f>
        <v/>
      </c>
      <c r="S235" s="11">
        <f>IF(I235="","",IF(M235&lt;&gt;"",MONTH(M235),IF(A235&lt;&gt;"",MONTH(A235),"")))</f>
        <v/>
      </c>
    </row>
    <row r="236">
      <c r="A236" s="7" t="n"/>
      <c r="B236" s="8" t="n"/>
      <c r="C236" s="8" t="n"/>
      <c r="D236" s="8" t="n"/>
      <c r="E236" s="8" t="n"/>
      <c r="F236" s="9" t="n"/>
      <c r="G236" s="9" t="n"/>
      <c r="H236" s="8" t="n"/>
      <c r="I236" s="10">
        <f>IF(OR(F236&lt;&gt;"",G236&lt;&gt;""),ROUND(N(F236)+N(G236),2),"")</f>
        <v/>
      </c>
      <c r="J236" s="10">
        <f>IF(I236="","",IF(D236="Sostituto d'imposta",ROUND(I236*Parametri!$B$2,2),0))</f>
        <v/>
      </c>
      <c r="K236" s="11">
        <f>IF(I236="","",IF(I236&gt;Parametri!$B$4,"Si","No"))</f>
        <v/>
      </c>
      <c r="L236" s="10">
        <f>IF(I236="","",I236-J236+IF(AND(K236="Si",H236="Si"),Parametri!$B$3,0))</f>
        <v/>
      </c>
      <c r="M236" s="7" t="n"/>
      <c r="N236" s="9" t="n"/>
      <c r="O236" s="10">
        <f>IF(L236="","",ROUND(L236-N(N236),2))</f>
        <v/>
      </c>
      <c r="P236" s="8" t="n"/>
      <c r="Q236" s="8" t="n"/>
      <c r="R236" s="11">
        <f>IF(I236="","",IF(M236&lt;&gt;"",YEAR(M236),IF(A236&lt;&gt;"",YEAR(A236),"")))</f>
        <v/>
      </c>
      <c r="S236" s="11">
        <f>IF(I236="","",IF(M236&lt;&gt;"",MONTH(M236),IF(A236&lt;&gt;"",MONTH(A236),"")))</f>
        <v/>
      </c>
    </row>
    <row r="237">
      <c r="A237" s="7" t="n"/>
      <c r="B237" s="8" t="n"/>
      <c r="C237" s="8" t="n"/>
      <c r="D237" s="8" t="n"/>
      <c r="E237" s="8" t="n"/>
      <c r="F237" s="9" t="n"/>
      <c r="G237" s="9" t="n"/>
      <c r="H237" s="8" t="n"/>
      <c r="I237" s="10">
        <f>IF(OR(F237&lt;&gt;"",G237&lt;&gt;""),ROUND(N(F237)+N(G237),2),"")</f>
        <v/>
      </c>
      <c r="J237" s="10">
        <f>IF(I237="","",IF(D237="Sostituto d'imposta",ROUND(I237*Parametri!$B$2,2),0))</f>
        <v/>
      </c>
      <c r="K237" s="11">
        <f>IF(I237="","",IF(I237&gt;Parametri!$B$4,"Si","No"))</f>
        <v/>
      </c>
      <c r="L237" s="10">
        <f>IF(I237="","",I237-J237+IF(AND(K237="Si",H237="Si"),Parametri!$B$3,0))</f>
        <v/>
      </c>
      <c r="M237" s="7" t="n"/>
      <c r="N237" s="9" t="n"/>
      <c r="O237" s="10">
        <f>IF(L237="","",ROUND(L237-N(N237),2))</f>
        <v/>
      </c>
      <c r="P237" s="8" t="n"/>
      <c r="Q237" s="8" t="n"/>
      <c r="R237" s="11">
        <f>IF(I237="","",IF(M237&lt;&gt;"",YEAR(M237),IF(A237&lt;&gt;"",YEAR(A237),"")))</f>
        <v/>
      </c>
      <c r="S237" s="11">
        <f>IF(I237="","",IF(M237&lt;&gt;"",MONTH(M237),IF(A237&lt;&gt;"",MONTH(A237),"")))</f>
        <v/>
      </c>
    </row>
    <row r="238">
      <c r="A238" s="7" t="n"/>
      <c r="B238" s="8" t="n"/>
      <c r="C238" s="8" t="n"/>
      <c r="D238" s="8" t="n"/>
      <c r="E238" s="8" t="n"/>
      <c r="F238" s="9" t="n"/>
      <c r="G238" s="9" t="n"/>
      <c r="H238" s="8" t="n"/>
      <c r="I238" s="10">
        <f>IF(OR(F238&lt;&gt;"",G238&lt;&gt;""),ROUND(N(F238)+N(G238),2),"")</f>
        <v/>
      </c>
      <c r="J238" s="10">
        <f>IF(I238="","",IF(D238="Sostituto d'imposta",ROUND(I238*Parametri!$B$2,2),0))</f>
        <v/>
      </c>
      <c r="K238" s="11">
        <f>IF(I238="","",IF(I238&gt;Parametri!$B$4,"Si","No"))</f>
        <v/>
      </c>
      <c r="L238" s="10">
        <f>IF(I238="","",I238-J238+IF(AND(K238="Si",H238="Si"),Parametri!$B$3,0))</f>
        <v/>
      </c>
      <c r="M238" s="7" t="n"/>
      <c r="N238" s="9" t="n"/>
      <c r="O238" s="10">
        <f>IF(L238="","",ROUND(L238-N(N238),2))</f>
        <v/>
      </c>
      <c r="P238" s="8" t="n"/>
      <c r="Q238" s="8" t="n"/>
      <c r="R238" s="11">
        <f>IF(I238="","",IF(M238&lt;&gt;"",YEAR(M238),IF(A238&lt;&gt;"",YEAR(A238),"")))</f>
        <v/>
      </c>
      <c r="S238" s="11">
        <f>IF(I238="","",IF(M238&lt;&gt;"",MONTH(M238),IF(A238&lt;&gt;"",MONTH(A238),"")))</f>
        <v/>
      </c>
    </row>
    <row r="239">
      <c r="A239" s="7" t="n"/>
      <c r="B239" s="8" t="n"/>
      <c r="C239" s="8" t="n"/>
      <c r="D239" s="8" t="n"/>
      <c r="E239" s="8" t="n"/>
      <c r="F239" s="9" t="n"/>
      <c r="G239" s="9" t="n"/>
      <c r="H239" s="8" t="n"/>
      <c r="I239" s="10">
        <f>IF(OR(F239&lt;&gt;"",G239&lt;&gt;""),ROUND(N(F239)+N(G239),2),"")</f>
        <v/>
      </c>
      <c r="J239" s="10">
        <f>IF(I239="","",IF(D239="Sostituto d'imposta",ROUND(I239*Parametri!$B$2,2),0))</f>
        <v/>
      </c>
      <c r="K239" s="11">
        <f>IF(I239="","",IF(I239&gt;Parametri!$B$4,"Si","No"))</f>
        <v/>
      </c>
      <c r="L239" s="10">
        <f>IF(I239="","",I239-J239+IF(AND(K239="Si",H239="Si"),Parametri!$B$3,0))</f>
        <v/>
      </c>
      <c r="M239" s="7" t="n"/>
      <c r="N239" s="9" t="n"/>
      <c r="O239" s="10">
        <f>IF(L239="","",ROUND(L239-N(N239),2))</f>
        <v/>
      </c>
      <c r="P239" s="8" t="n"/>
      <c r="Q239" s="8" t="n"/>
      <c r="R239" s="11">
        <f>IF(I239="","",IF(M239&lt;&gt;"",YEAR(M239),IF(A239&lt;&gt;"",YEAR(A239),"")))</f>
        <v/>
      </c>
      <c r="S239" s="11">
        <f>IF(I239="","",IF(M239&lt;&gt;"",MONTH(M239),IF(A239&lt;&gt;"",MONTH(A239),"")))</f>
        <v/>
      </c>
    </row>
    <row r="240">
      <c r="A240" s="7" t="n"/>
      <c r="B240" s="8" t="n"/>
      <c r="C240" s="8" t="n"/>
      <c r="D240" s="8" t="n"/>
      <c r="E240" s="8" t="n"/>
      <c r="F240" s="9" t="n"/>
      <c r="G240" s="9" t="n"/>
      <c r="H240" s="8" t="n"/>
      <c r="I240" s="10">
        <f>IF(OR(F240&lt;&gt;"",G240&lt;&gt;""),ROUND(N(F240)+N(G240),2),"")</f>
        <v/>
      </c>
      <c r="J240" s="10">
        <f>IF(I240="","",IF(D240="Sostituto d'imposta",ROUND(I240*Parametri!$B$2,2),0))</f>
        <v/>
      </c>
      <c r="K240" s="11">
        <f>IF(I240="","",IF(I240&gt;Parametri!$B$4,"Si","No"))</f>
        <v/>
      </c>
      <c r="L240" s="10">
        <f>IF(I240="","",I240-J240+IF(AND(K240="Si",H240="Si"),Parametri!$B$3,0))</f>
        <v/>
      </c>
      <c r="M240" s="7" t="n"/>
      <c r="N240" s="9" t="n"/>
      <c r="O240" s="10">
        <f>IF(L240="","",ROUND(L240-N(N240),2))</f>
        <v/>
      </c>
      <c r="P240" s="8" t="n"/>
      <c r="Q240" s="8" t="n"/>
      <c r="R240" s="11">
        <f>IF(I240="","",IF(M240&lt;&gt;"",YEAR(M240),IF(A240&lt;&gt;"",YEAR(A240),"")))</f>
        <v/>
      </c>
      <c r="S240" s="11">
        <f>IF(I240="","",IF(M240&lt;&gt;"",MONTH(M240),IF(A240&lt;&gt;"",MONTH(A240),"")))</f>
        <v/>
      </c>
    </row>
    <row r="241">
      <c r="A241" s="7" t="n"/>
      <c r="B241" s="8" t="n"/>
      <c r="C241" s="8" t="n"/>
      <c r="D241" s="8" t="n"/>
      <c r="E241" s="8" t="n"/>
      <c r="F241" s="9" t="n"/>
      <c r="G241" s="9" t="n"/>
      <c r="H241" s="8" t="n"/>
      <c r="I241" s="10">
        <f>IF(OR(F241&lt;&gt;"",G241&lt;&gt;""),ROUND(N(F241)+N(G241),2),"")</f>
        <v/>
      </c>
      <c r="J241" s="10">
        <f>IF(I241="","",IF(D241="Sostituto d'imposta",ROUND(I241*Parametri!$B$2,2),0))</f>
        <v/>
      </c>
      <c r="K241" s="11">
        <f>IF(I241="","",IF(I241&gt;Parametri!$B$4,"Si","No"))</f>
        <v/>
      </c>
      <c r="L241" s="10">
        <f>IF(I241="","",I241-J241+IF(AND(K241="Si",H241="Si"),Parametri!$B$3,0))</f>
        <v/>
      </c>
      <c r="M241" s="7" t="n"/>
      <c r="N241" s="9" t="n"/>
      <c r="O241" s="10">
        <f>IF(L241="","",ROUND(L241-N(N241),2))</f>
        <v/>
      </c>
      <c r="P241" s="8" t="n"/>
      <c r="Q241" s="8" t="n"/>
      <c r="R241" s="11">
        <f>IF(I241="","",IF(M241&lt;&gt;"",YEAR(M241),IF(A241&lt;&gt;"",YEAR(A241),"")))</f>
        <v/>
      </c>
      <c r="S241" s="11">
        <f>IF(I241="","",IF(M241&lt;&gt;"",MONTH(M241),IF(A241&lt;&gt;"",MONTH(A241),"")))</f>
        <v/>
      </c>
    </row>
    <row r="242">
      <c r="A242" s="7" t="n"/>
      <c r="B242" s="8" t="n"/>
      <c r="C242" s="8" t="n"/>
      <c r="D242" s="8" t="n"/>
      <c r="E242" s="8" t="n"/>
      <c r="F242" s="9" t="n"/>
      <c r="G242" s="9" t="n"/>
      <c r="H242" s="8" t="n"/>
      <c r="I242" s="10">
        <f>IF(OR(F242&lt;&gt;"",G242&lt;&gt;""),ROUND(N(F242)+N(G242),2),"")</f>
        <v/>
      </c>
      <c r="J242" s="10">
        <f>IF(I242="","",IF(D242="Sostituto d'imposta",ROUND(I242*Parametri!$B$2,2),0))</f>
        <v/>
      </c>
      <c r="K242" s="11">
        <f>IF(I242="","",IF(I242&gt;Parametri!$B$4,"Si","No"))</f>
        <v/>
      </c>
      <c r="L242" s="10">
        <f>IF(I242="","",I242-J242+IF(AND(K242="Si",H242="Si"),Parametri!$B$3,0))</f>
        <v/>
      </c>
      <c r="M242" s="7" t="n"/>
      <c r="N242" s="9" t="n"/>
      <c r="O242" s="10">
        <f>IF(L242="","",ROUND(L242-N(N242),2))</f>
        <v/>
      </c>
      <c r="P242" s="8" t="n"/>
      <c r="Q242" s="8" t="n"/>
      <c r="R242" s="11">
        <f>IF(I242="","",IF(M242&lt;&gt;"",YEAR(M242),IF(A242&lt;&gt;"",YEAR(A242),"")))</f>
        <v/>
      </c>
      <c r="S242" s="11">
        <f>IF(I242="","",IF(M242&lt;&gt;"",MONTH(M242),IF(A242&lt;&gt;"",MONTH(A242),"")))</f>
        <v/>
      </c>
    </row>
    <row r="243">
      <c r="A243" s="7" t="n"/>
      <c r="B243" s="8" t="n"/>
      <c r="C243" s="8" t="n"/>
      <c r="D243" s="8" t="n"/>
      <c r="E243" s="8" t="n"/>
      <c r="F243" s="9" t="n"/>
      <c r="G243" s="9" t="n"/>
      <c r="H243" s="8" t="n"/>
      <c r="I243" s="10">
        <f>IF(OR(F243&lt;&gt;"",G243&lt;&gt;""),ROUND(N(F243)+N(G243),2),"")</f>
        <v/>
      </c>
      <c r="J243" s="10">
        <f>IF(I243="","",IF(D243="Sostituto d'imposta",ROUND(I243*Parametri!$B$2,2),0))</f>
        <v/>
      </c>
      <c r="K243" s="11">
        <f>IF(I243="","",IF(I243&gt;Parametri!$B$4,"Si","No"))</f>
        <v/>
      </c>
      <c r="L243" s="10">
        <f>IF(I243="","",I243-J243+IF(AND(K243="Si",H243="Si"),Parametri!$B$3,0))</f>
        <v/>
      </c>
      <c r="M243" s="7" t="n"/>
      <c r="N243" s="9" t="n"/>
      <c r="O243" s="10">
        <f>IF(L243="","",ROUND(L243-N(N243),2))</f>
        <v/>
      </c>
      <c r="P243" s="8" t="n"/>
      <c r="Q243" s="8" t="n"/>
      <c r="R243" s="11">
        <f>IF(I243="","",IF(M243&lt;&gt;"",YEAR(M243),IF(A243&lt;&gt;"",YEAR(A243),"")))</f>
        <v/>
      </c>
      <c r="S243" s="11">
        <f>IF(I243="","",IF(M243&lt;&gt;"",MONTH(M243),IF(A243&lt;&gt;"",MONTH(A243),"")))</f>
        <v/>
      </c>
    </row>
    <row r="244">
      <c r="A244" s="7" t="n"/>
      <c r="B244" s="8" t="n"/>
      <c r="C244" s="8" t="n"/>
      <c r="D244" s="8" t="n"/>
      <c r="E244" s="8" t="n"/>
      <c r="F244" s="9" t="n"/>
      <c r="G244" s="9" t="n"/>
      <c r="H244" s="8" t="n"/>
      <c r="I244" s="10">
        <f>IF(OR(F244&lt;&gt;"",G244&lt;&gt;""),ROUND(N(F244)+N(G244),2),"")</f>
        <v/>
      </c>
      <c r="J244" s="10">
        <f>IF(I244="","",IF(D244="Sostituto d'imposta",ROUND(I244*Parametri!$B$2,2),0))</f>
        <v/>
      </c>
      <c r="K244" s="11">
        <f>IF(I244="","",IF(I244&gt;Parametri!$B$4,"Si","No"))</f>
        <v/>
      </c>
      <c r="L244" s="10">
        <f>IF(I244="","",I244-J244+IF(AND(K244="Si",H244="Si"),Parametri!$B$3,0))</f>
        <v/>
      </c>
      <c r="M244" s="7" t="n"/>
      <c r="N244" s="9" t="n"/>
      <c r="O244" s="10">
        <f>IF(L244="","",ROUND(L244-N(N244),2))</f>
        <v/>
      </c>
      <c r="P244" s="8" t="n"/>
      <c r="Q244" s="8" t="n"/>
      <c r="R244" s="11">
        <f>IF(I244="","",IF(M244&lt;&gt;"",YEAR(M244),IF(A244&lt;&gt;"",YEAR(A244),"")))</f>
        <v/>
      </c>
      <c r="S244" s="11">
        <f>IF(I244="","",IF(M244&lt;&gt;"",MONTH(M244),IF(A244&lt;&gt;"",MONTH(A244),"")))</f>
        <v/>
      </c>
    </row>
    <row r="245">
      <c r="A245" s="7" t="n"/>
      <c r="B245" s="8" t="n"/>
      <c r="C245" s="8" t="n"/>
      <c r="D245" s="8" t="n"/>
      <c r="E245" s="8" t="n"/>
      <c r="F245" s="9" t="n"/>
      <c r="G245" s="9" t="n"/>
      <c r="H245" s="8" t="n"/>
      <c r="I245" s="10">
        <f>IF(OR(F245&lt;&gt;"",G245&lt;&gt;""),ROUND(N(F245)+N(G245),2),"")</f>
        <v/>
      </c>
      <c r="J245" s="10">
        <f>IF(I245="","",IF(D245="Sostituto d'imposta",ROUND(I245*Parametri!$B$2,2),0))</f>
        <v/>
      </c>
      <c r="K245" s="11">
        <f>IF(I245="","",IF(I245&gt;Parametri!$B$4,"Si","No"))</f>
        <v/>
      </c>
      <c r="L245" s="10">
        <f>IF(I245="","",I245-J245+IF(AND(K245="Si",H245="Si"),Parametri!$B$3,0))</f>
        <v/>
      </c>
      <c r="M245" s="7" t="n"/>
      <c r="N245" s="9" t="n"/>
      <c r="O245" s="10">
        <f>IF(L245="","",ROUND(L245-N(N245),2))</f>
        <v/>
      </c>
      <c r="P245" s="8" t="n"/>
      <c r="Q245" s="8" t="n"/>
      <c r="R245" s="11">
        <f>IF(I245="","",IF(M245&lt;&gt;"",YEAR(M245),IF(A245&lt;&gt;"",YEAR(A245),"")))</f>
        <v/>
      </c>
      <c r="S245" s="11">
        <f>IF(I245="","",IF(M245&lt;&gt;"",MONTH(M245),IF(A245&lt;&gt;"",MONTH(A245),"")))</f>
        <v/>
      </c>
    </row>
    <row r="246">
      <c r="A246" s="7" t="n"/>
      <c r="B246" s="8" t="n"/>
      <c r="C246" s="8" t="n"/>
      <c r="D246" s="8" t="n"/>
      <c r="E246" s="8" t="n"/>
      <c r="F246" s="9" t="n"/>
      <c r="G246" s="9" t="n"/>
      <c r="H246" s="8" t="n"/>
      <c r="I246" s="10">
        <f>IF(OR(F246&lt;&gt;"",G246&lt;&gt;""),ROUND(N(F246)+N(G246),2),"")</f>
        <v/>
      </c>
      <c r="J246" s="10">
        <f>IF(I246="","",IF(D246="Sostituto d'imposta",ROUND(I246*Parametri!$B$2,2),0))</f>
        <v/>
      </c>
      <c r="K246" s="11">
        <f>IF(I246="","",IF(I246&gt;Parametri!$B$4,"Si","No"))</f>
        <v/>
      </c>
      <c r="L246" s="10">
        <f>IF(I246="","",I246-J246+IF(AND(K246="Si",H246="Si"),Parametri!$B$3,0))</f>
        <v/>
      </c>
      <c r="M246" s="7" t="n"/>
      <c r="N246" s="9" t="n"/>
      <c r="O246" s="10">
        <f>IF(L246="","",ROUND(L246-N(N246),2))</f>
        <v/>
      </c>
      <c r="P246" s="8" t="n"/>
      <c r="Q246" s="8" t="n"/>
      <c r="R246" s="11">
        <f>IF(I246="","",IF(M246&lt;&gt;"",YEAR(M246),IF(A246&lt;&gt;"",YEAR(A246),"")))</f>
        <v/>
      </c>
      <c r="S246" s="11">
        <f>IF(I246="","",IF(M246&lt;&gt;"",MONTH(M246),IF(A246&lt;&gt;"",MONTH(A246),"")))</f>
        <v/>
      </c>
    </row>
    <row r="247">
      <c r="A247" s="7" t="n"/>
      <c r="B247" s="8" t="n"/>
      <c r="C247" s="8" t="n"/>
      <c r="D247" s="8" t="n"/>
      <c r="E247" s="8" t="n"/>
      <c r="F247" s="9" t="n"/>
      <c r="G247" s="9" t="n"/>
      <c r="H247" s="8" t="n"/>
      <c r="I247" s="10">
        <f>IF(OR(F247&lt;&gt;"",G247&lt;&gt;""),ROUND(N(F247)+N(G247),2),"")</f>
        <v/>
      </c>
      <c r="J247" s="10">
        <f>IF(I247="","",IF(D247="Sostituto d'imposta",ROUND(I247*Parametri!$B$2,2),0))</f>
        <v/>
      </c>
      <c r="K247" s="11">
        <f>IF(I247="","",IF(I247&gt;Parametri!$B$4,"Si","No"))</f>
        <v/>
      </c>
      <c r="L247" s="10">
        <f>IF(I247="","",I247-J247+IF(AND(K247="Si",H247="Si"),Parametri!$B$3,0))</f>
        <v/>
      </c>
      <c r="M247" s="7" t="n"/>
      <c r="N247" s="9" t="n"/>
      <c r="O247" s="10">
        <f>IF(L247="","",ROUND(L247-N(N247),2))</f>
        <v/>
      </c>
      <c r="P247" s="8" t="n"/>
      <c r="Q247" s="8" t="n"/>
      <c r="R247" s="11">
        <f>IF(I247="","",IF(M247&lt;&gt;"",YEAR(M247),IF(A247&lt;&gt;"",YEAR(A247),"")))</f>
        <v/>
      </c>
      <c r="S247" s="11">
        <f>IF(I247="","",IF(M247&lt;&gt;"",MONTH(M247),IF(A247&lt;&gt;"",MONTH(A247),"")))</f>
        <v/>
      </c>
    </row>
    <row r="248">
      <c r="A248" s="7" t="n"/>
      <c r="B248" s="8" t="n"/>
      <c r="C248" s="8" t="n"/>
      <c r="D248" s="8" t="n"/>
      <c r="E248" s="8" t="n"/>
      <c r="F248" s="9" t="n"/>
      <c r="G248" s="9" t="n"/>
      <c r="H248" s="8" t="n"/>
      <c r="I248" s="10">
        <f>IF(OR(F248&lt;&gt;"",G248&lt;&gt;""),ROUND(N(F248)+N(G248),2),"")</f>
        <v/>
      </c>
      <c r="J248" s="10">
        <f>IF(I248="","",IF(D248="Sostituto d'imposta",ROUND(I248*Parametri!$B$2,2),0))</f>
        <v/>
      </c>
      <c r="K248" s="11">
        <f>IF(I248="","",IF(I248&gt;Parametri!$B$4,"Si","No"))</f>
        <v/>
      </c>
      <c r="L248" s="10">
        <f>IF(I248="","",I248-J248+IF(AND(K248="Si",H248="Si"),Parametri!$B$3,0))</f>
        <v/>
      </c>
      <c r="M248" s="7" t="n"/>
      <c r="N248" s="9" t="n"/>
      <c r="O248" s="10">
        <f>IF(L248="","",ROUND(L248-N(N248),2))</f>
        <v/>
      </c>
      <c r="P248" s="8" t="n"/>
      <c r="Q248" s="8" t="n"/>
      <c r="R248" s="11">
        <f>IF(I248="","",IF(M248&lt;&gt;"",YEAR(M248),IF(A248&lt;&gt;"",YEAR(A248),"")))</f>
        <v/>
      </c>
      <c r="S248" s="11">
        <f>IF(I248="","",IF(M248&lt;&gt;"",MONTH(M248),IF(A248&lt;&gt;"",MONTH(A248),"")))</f>
        <v/>
      </c>
    </row>
    <row r="249">
      <c r="A249" s="7" t="n"/>
      <c r="B249" s="8" t="n"/>
      <c r="C249" s="8" t="n"/>
      <c r="D249" s="8" t="n"/>
      <c r="E249" s="8" t="n"/>
      <c r="F249" s="9" t="n"/>
      <c r="G249" s="9" t="n"/>
      <c r="H249" s="8" t="n"/>
      <c r="I249" s="10">
        <f>IF(OR(F249&lt;&gt;"",G249&lt;&gt;""),ROUND(N(F249)+N(G249),2),"")</f>
        <v/>
      </c>
      <c r="J249" s="10">
        <f>IF(I249="","",IF(D249="Sostituto d'imposta",ROUND(I249*Parametri!$B$2,2),0))</f>
        <v/>
      </c>
      <c r="K249" s="11">
        <f>IF(I249="","",IF(I249&gt;Parametri!$B$4,"Si","No"))</f>
        <v/>
      </c>
      <c r="L249" s="10">
        <f>IF(I249="","",I249-J249+IF(AND(K249="Si",H249="Si"),Parametri!$B$3,0))</f>
        <v/>
      </c>
      <c r="M249" s="7" t="n"/>
      <c r="N249" s="9" t="n"/>
      <c r="O249" s="10">
        <f>IF(L249="","",ROUND(L249-N(N249),2))</f>
        <v/>
      </c>
      <c r="P249" s="8" t="n"/>
      <c r="Q249" s="8" t="n"/>
      <c r="R249" s="11">
        <f>IF(I249="","",IF(M249&lt;&gt;"",YEAR(M249),IF(A249&lt;&gt;"",YEAR(A249),"")))</f>
        <v/>
      </c>
      <c r="S249" s="11">
        <f>IF(I249="","",IF(M249&lt;&gt;"",MONTH(M249),IF(A249&lt;&gt;"",MONTH(A249),"")))</f>
        <v/>
      </c>
    </row>
    <row r="250">
      <c r="A250" s="7" t="n"/>
      <c r="B250" s="8" t="n"/>
      <c r="C250" s="8" t="n"/>
      <c r="D250" s="8" t="n"/>
      <c r="E250" s="8" t="n"/>
      <c r="F250" s="9" t="n"/>
      <c r="G250" s="9" t="n"/>
      <c r="H250" s="8" t="n"/>
      <c r="I250" s="10">
        <f>IF(OR(F250&lt;&gt;"",G250&lt;&gt;""),ROUND(N(F250)+N(G250),2),"")</f>
        <v/>
      </c>
      <c r="J250" s="10">
        <f>IF(I250="","",IF(D250="Sostituto d'imposta",ROUND(I250*Parametri!$B$2,2),0))</f>
        <v/>
      </c>
      <c r="K250" s="11">
        <f>IF(I250="","",IF(I250&gt;Parametri!$B$4,"Si","No"))</f>
        <v/>
      </c>
      <c r="L250" s="10">
        <f>IF(I250="","",I250-J250+IF(AND(K250="Si",H250="Si"),Parametri!$B$3,0))</f>
        <v/>
      </c>
      <c r="M250" s="7" t="n"/>
      <c r="N250" s="9" t="n"/>
      <c r="O250" s="10">
        <f>IF(L250="","",ROUND(L250-N(N250),2))</f>
        <v/>
      </c>
      <c r="P250" s="8" t="n"/>
      <c r="Q250" s="8" t="n"/>
      <c r="R250" s="11">
        <f>IF(I250="","",IF(M250&lt;&gt;"",YEAR(M250),IF(A250&lt;&gt;"",YEAR(A250),"")))</f>
        <v/>
      </c>
      <c r="S250" s="11">
        <f>IF(I250="","",IF(M250&lt;&gt;"",MONTH(M250),IF(A250&lt;&gt;"",MONTH(A250),"")))</f>
        <v/>
      </c>
    </row>
    <row r="251">
      <c r="A251" s="7" t="n"/>
      <c r="B251" s="8" t="n"/>
      <c r="C251" s="8" t="n"/>
      <c r="D251" s="8" t="n"/>
      <c r="E251" s="8" t="n"/>
      <c r="F251" s="9" t="n"/>
      <c r="G251" s="9" t="n"/>
      <c r="H251" s="8" t="n"/>
      <c r="I251" s="10">
        <f>IF(OR(F251&lt;&gt;"",G251&lt;&gt;""),ROUND(N(F251)+N(G251),2),"")</f>
        <v/>
      </c>
      <c r="J251" s="10">
        <f>IF(I251="","",IF(D251="Sostituto d'imposta",ROUND(I251*Parametri!$B$2,2),0))</f>
        <v/>
      </c>
      <c r="K251" s="11">
        <f>IF(I251="","",IF(I251&gt;Parametri!$B$4,"Si","No"))</f>
        <v/>
      </c>
      <c r="L251" s="10">
        <f>IF(I251="","",I251-J251+IF(AND(K251="Si",H251="Si"),Parametri!$B$3,0))</f>
        <v/>
      </c>
      <c r="M251" s="7" t="n"/>
      <c r="N251" s="9" t="n"/>
      <c r="O251" s="10">
        <f>IF(L251="","",ROUND(L251-N(N251),2))</f>
        <v/>
      </c>
      <c r="P251" s="8" t="n"/>
      <c r="Q251" s="8" t="n"/>
      <c r="R251" s="11">
        <f>IF(I251="","",IF(M251&lt;&gt;"",YEAR(M251),IF(A251&lt;&gt;"",YEAR(A251),"")))</f>
        <v/>
      </c>
      <c r="S251" s="11">
        <f>IF(I251="","",IF(M251&lt;&gt;"",MONTH(M251),IF(A251&lt;&gt;"",MONTH(A251),"")))</f>
        <v/>
      </c>
    </row>
    <row r="252">
      <c r="A252" s="7" t="n"/>
      <c r="B252" s="8" t="n"/>
      <c r="C252" s="8" t="n"/>
      <c r="D252" s="8" t="n"/>
      <c r="E252" s="8" t="n"/>
      <c r="F252" s="9" t="n"/>
      <c r="G252" s="9" t="n"/>
      <c r="H252" s="8" t="n"/>
      <c r="I252" s="10">
        <f>IF(OR(F252&lt;&gt;"",G252&lt;&gt;""),ROUND(N(F252)+N(G252),2),"")</f>
        <v/>
      </c>
      <c r="J252" s="10">
        <f>IF(I252="","",IF(D252="Sostituto d'imposta",ROUND(I252*Parametri!$B$2,2),0))</f>
        <v/>
      </c>
      <c r="K252" s="11">
        <f>IF(I252="","",IF(I252&gt;Parametri!$B$4,"Si","No"))</f>
        <v/>
      </c>
      <c r="L252" s="10">
        <f>IF(I252="","",I252-J252+IF(AND(K252="Si",H252="Si"),Parametri!$B$3,0))</f>
        <v/>
      </c>
      <c r="M252" s="7" t="n"/>
      <c r="N252" s="9" t="n"/>
      <c r="O252" s="10">
        <f>IF(L252="","",ROUND(L252-N(N252),2))</f>
        <v/>
      </c>
      <c r="P252" s="8" t="n"/>
      <c r="Q252" s="8" t="n"/>
      <c r="R252" s="11">
        <f>IF(I252="","",IF(M252&lt;&gt;"",YEAR(M252),IF(A252&lt;&gt;"",YEAR(A252),"")))</f>
        <v/>
      </c>
      <c r="S252" s="11">
        <f>IF(I252="","",IF(M252&lt;&gt;"",MONTH(M252),IF(A252&lt;&gt;"",MONTH(A252),"")))</f>
        <v/>
      </c>
    </row>
    <row r="253">
      <c r="A253" s="7" t="n"/>
      <c r="B253" s="8" t="n"/>
      <c r="C253" s="8" t="n"/>
      <c r="D253" s="8" t="n"/>
      <c r="E253" s="8" t="n"/>
      <c r="F253" s="9" t="n"/>
      <c r="G253" s="9" t="n"/>
      <c r="H253" s="8" t="n"/>
      <c r="I253" s="10">
        <f>IF(OR(F253&lt;&gt;"",G253&lt;&gt;""),ROUND(N(F253)+N(G253),2),"")</f>
        <v/>
      </c>
      <c r="J253" s="10">
        <f>IF(I253="","",IF(D253="Sostituto d'imposta",ROUND(I253*Parametri!$B$2,2),0))</f>
        <v/>
      </c>
      <c r="K253" s="11">
        <f>IF(I253="","",IF(I253&gt;Parametri!$B$4,"Si","No"))</f>
        <v/>
      </c>
      <c r="L253" s="10">
        <f>IF(I253="","",I253-J253+IF(AND(K253="Si",H253="Si"),Parametri!$B$3,0))</f>
        <v/>
      </c>
      <c r="M253" s="7" t="n"/>
      <c r="N253" s="9" t="n"/>
      <c r="O253" s="10">
        <f>IF(L253="","",ROUND(L253-N(N253),2))</f>
        <v/>
      </c>
      <c r="P253" s="8" t="n"/>
      <c r="Q253" s="8" t="n"/>
      <c r="R253" s="11">
        <f>IF(I253="","",IF(M253&lt;&gt;"",YEAR(M253),IF(A253&lt;&gt;"",YEAR(A253),"")))</f>
        <v/>
      </c>
      <c r="S253" s="11">
        <f>IF(I253="","",IF(M253&lt;&gt;"",MONTH(M253),IF(A253&lt;&gt;"",MONTH(A253),"")))</f>
        <v/>
      </c>
    </row>
    <row r="254">
      <c r="A254" s="7" t="n"/>
      <c r="B254" s="8" t="n"/>
      <c r="C254" s="8" t="n"/>
      <c r="D254" s="8" t="n"/>
      <c r="E254" s="8" t="n"/>
      <c r="F254" s="9" t="n"/>
      <c r="G254" s="9" t="n"/>
      <c r="H254" s="8" t="n"/>
      <c r="I254" s="10">
        <f>IF(OR(F254&lt;&gt;"",G254&lt;&gt;""),ROUND(N(F254)+N(G254),2),"")</f>
        <v/>
      </c>
      <c r="J254" s="10">
        <f>IF(I254="","",IF(D254="Sostituto d'imposta",ROUND(I254*Parametri!$B$2,2),0))</f>
        <v/>
      </c>
      <c r="K254" s="11">
        <f>IF(I254="","",IF(I254&gt;Parametri!$B$4,"Si","No"))</f>
        <v/>
      </c>
      <c r="L254" s="10">
        <f>IF(I254="","",I254-J254+IF(AND(K254="Si",H254="Si"),Parametri!$B$3,0))</f>
        <v/>
      </c>
      <c r="M254" s="7" t="n"/>
      <c r="N254" s="9" t="n"/>
      <c r="O254" s="10">
        <f>IF(L254="","",ROUND(L254-N(N254),2))</f>
        <v/>
      </c>
      <c r="P254" s="8" t="n"/>
      <c r="Q254" s="8" t="n"/>
      <c r="R254" s="11">
        <f>IF(I254="","",IF(M254&lt;&gt;"",YEAR(M254),IF(A254&lt;&gt;"",YEAR(A254),"")))</f>
        <v/>
      </c>
      <c r="S254" s="11">
        <f>IF(I254="","",IF(M254&lt;&gt;"",MONTH(M254),IF(A254&lt;&gt;"",MONTH(A254),"")))</f>
        <v/>
      </c>
    </row>
    <row r="255">
      <c r="A255" s="7" t="n"/>
      <c r="B255" s="8" t="n"/>
      <c r="C255" s="8" t="n"/>
      <c r="D255" s="8" t="n"/>
      <c r="E255" s="8" t="n"/>
      <c r="F255" s="9" t="n"/>
      <c r="G255" s="9" t="n"/>
      <c r="H255" s="8" t="n"/>
      <c r="I255" s="10">
        <f>IF(OR(F255&lt;&gt;"",G255&lt;&gt;""),ROUND(N(F255)+N(G255),2),"")</f>
        <v/>
      </c>
      <c r="J255" s="10">
        <f>IF(I255="","",IF(D255="Sostituto d'imposta",ROUND(I255*Parametri!$B$2,2),0))</f>
        <v/>
      </c>
      <c r="K255" s="11">
        <f>IF(I255="","",IF(I255&gt;Parametri!$B$4,"Si","No"))</f>
        <v/>
      </c>
      <c r="L255" s="10">
        <f>IF(I255="","",I255-J255+IF(AND(K255="Si",H255="Si"),Parametri!$B$3,0))</f>
        <v/>
      </c>
      <c r="M255" s="7" t="n"/>
      <c r="N255" s="9" t="n"/>
      <c r="O255" s="10">
        <f>IF(L255="","",ROUND(L255-N(N255),2))</f>
        <v/>
      </c>
      <c r="P255" s="8" t="n"/>
      <c r="Q255" s="8" t="n"/>
      <c r="R255" s="11">
        <f>IF(I255="","",IF(M255&lt;&gt;"",YEAR(M255),IF(A255&lt;&gt;"",YEAR(A255),"")))</f>
        <v/>
      </c>
      <c r="S255" s="11">
        <f>IF(I255="","",IF(M255&lt;&gt;"",MONTH(M255),IF(A255&lt;&gt;"",MONTH(A255),"")))</f>
        <v/>
      </c>
    </row>
    <row r="256">
      <c r="A256" s="7" t="n"/>
      <c r="B256" s="8" t="n"/>
      <c r="C256" s="8" t="n"/>
      <c r="D256" s="8" t="n"/>
      <c r="E256" s="8" t="n"/>
      <c r="F256" s="9" t="n"/>
      <c r="G256" s="9" t="n"/>
      <c r="H256" s="8" t="n"/>
      <c r="I256" s="10">
        <f>IF(OR(F256&lt;&gt;"",G256&lt;&gt;""),ROUND(N(F256)+N(G256),2),"")</f>
        <v/>
      </c>
      <c r="J256" s="10">
        <f>IF(I256="","",IF(D256="Sostituto d'imposta",ROUND(I256*Parametri!$B$2,2),0))</f>
        <v/>
      </c>
      <c r="K256" s="11">
        <f>IF(I256="","",IF(I256&gt;Parametri!$B$4,"Si","No"))</f>
        <v/>
      </c>
      <c r="L256" s="10">
        <f>IF(I256="","",I256-J256+IF(AND(K256="Si",H256="Si"),Parametri!$B$3,0))</f>
        <v/>
      </c>
      <c r="M256" s="7" t="n"/>
      <c r="N256" s="9" t="n"/>
      <c r="O256" s="10">
        <f>IF(L256="","",ROUND(L256-N(N256),2))</f>
        <v/>
      </c>
      <c r="P256" s="8" t="n"/>
      <c r="Q256" s="8" t="n"/>
      <c r="R256" s="11">
        <f>IF(I256="","",IF(M256&lt;&gt;"",YEAR(M256),IF(A256&lt;&gt;"",YEAR(A256),"")))</f>
        <v/>
      </c>
      <c r="S256" s="11">
        <f>IF(I256="","",IF(M256&lt;&gt;"",MONTH(M256),IF(A256&lt;&gt;"",MONTH(A256),"")))</f>
        <v/>
      </c>
    </row>
    <row r="257">
      <c r="A257" s="7" t="n"/>
      <c r="B257" s="8" t="n"/>
      <c r="C257" s="8" t="n"/>
      <c r="D257" s="8" t="n"/>
      <c r="E257" s="8" t="n"/>
      <c r="F257" s="9" t="n"/>
      <c r="G257" s="9" t="n"/>
      <c r="H257" s="8" t="n"/>
      <c r="I257" s="10">
        <f>IF(OR(F257&lt;&gt;"",G257&lt;&gt;""),ROUND(N(F257)+N(G257),2),"")</f>
        <v/>
      </c>
      <c r="J257" s="10">
        <f>IF(I257="","",IF(D257="Sostituto d'imposta",ROUND(I257*Parametri!$B$2,2),0))</f>
        <v/>
      </c>
      <c r="K257" s="11">
        <f>IF(I257="","",IF(I257&gt;Parametri!$B$4,"Si","No"))</f>
        <v/>
      </c>
      <c r="L257" s="10">
        <f>IF(I257="","",I257-J257+IF(AND(K257="Si",H257="Si"),Parametri!$B$3,0))</f>
        <v/>
      </c>
      <c r="M257" s="7" t="n"/>
      <c r="N257" s="9" t="n"/>
      <c r="O257" s="10">
        <f>IF(L257="","",ROUND(L257-N(N257),2))</f>
        <v/>
      </c>
      <c r="P257" s="8" t="n"/>
      <c r="Q257" s="8" t="n"/>
      <c r="R257" s="11">
        <f>IF(I257="","",IF(M257&lt;&gt;"",YEAR(M257),IF(A257&lt;&gt;"",YEAR(A257),"")))</f>
        <v/>
      </c>
      <c r="S257" s="11">
        <f>IF(I257="","",IF(M257&lt;&gt;"",MONTH(M257),IF(A257&lt;&gt;"",MONTH(A257),"")))</f>
        <v/>
      </c>
    </row>
    <row r="258">
      <c r="A258" s="7" t="n"/>
      <c r="B258" s="8" t="n"/>
      <c r="C258" s="8" t="n"/>
      <c r="D258" s="8" t="n"/>
      <c r="E258" s="8" t="n"/>
      <c r="F258" s="9" t="n"/>
      <c r="G258" s="9" t="n"/>
      <c r="H258" s="8" t="n"/>
      <c r="I258" s="10">
        <f>IF(OR(F258&lt;&gt;"",G258&lt;&gt;""),ROUND(N(F258)+N(G258),2),"")</f>
        <v/>
      </c>
      <c r="J258" s="10">
        <f>IF(I258="","",IF(D258="Sostituto d'imposta",ROUND(I258*Parametri!$B$2,2),0))</f>
        <v/>
      </c>
      <c r="K258" s="11">
        <f>IF(I258="","",IF(I258&gt;Parametri!$B$4,"Si","No"))</f>
        <v/>
      </c>
      <c r="L258" s="10">
        <f>IF(I258="","",I258-J258+IF(AND(K258="Si",H258="Si"),Parametri!$B$3,0))</f>
        <v/>
      </c>
      <c r="M258" s="7" t="n"/>
      <c r="N258" s="9" t="n"/>
      <c r="O258" s="10">
        <f>IF(L258="","",ROUND(L258-N(N258),2))</f>
        <v/>
      </c>
      <c r="P258" s="8" t="n"/>
      <c r="Q258" s="8" t="n"/>
      <c r="R258" s="11">
        <f>IF(I258="","",IF(M258&lt;&gt;"",YEAR(M258),IF(A258&lt;&gt;"",YEAR(A258),"")))</f>
        <v/>
      </c>
      <c r="S258" s="11">
        <f>IF(I258="","",IF(M258&lt;&gt;"",MONTH(M258),IF(A258&lt;&gt;"",MONTH(A258),"")))</f>
        <v/>
      </c>
    </row>
    <row r="259">
      <c r="A259" s="7" t="n"/>
      <c r="B259" s="8" t="n"/>
      <c r="C259" s="8" t="n"/>
      <c r="D259" s="8" t="n"/>
      <c r="E259" s="8" t="n"/>
      <c r="F259" s="9" t="n"/>
      <c r="G259" s="9" t="n"/>
      <c r="H259" s="8" t="n"/>
      <c r="I259" s="10">
        <f>IF(OR(F259&lt;&gt;"",G259&lt;&gt;""),ROUND(N(F259)+N(G259),2),"")</f>
        <v/>
      </c>
      <c r="J259" s="10">
        <f>IF(I259="","",IF(D259="Sostituto d'imposta",ROUND(I259*Parametri!$B$2,2),0))</f>
        <v/>
      </c>
      <c r="K259" s="11">
        <f>IF(I259="","",IF(I259&gt;Parametri!$B$4,"Si","No"))</f>
        <v/>
      </c>
      <c r="L259" s="10">
        <f>IF(I259="","",I259-J259+IF(AND(K259="Si",H259="Si"),Parametri!$B$3,0))</f>
        <v/>
      </c>
      <c r="M259" s="7" t="n"/>
      <c r="N259" s="9" t="n"/>
      <c r="O259" s="10">
        <f>IF(L259="","",ROUND(L259-N(N259),2))</f>
        <v/>
      </c>
      <c r="P259" s="8" t="n"/>
      <c r="Q259" s="8" t="n"/>
      <c r="R259" s="11">
        <f>IF(I259="","",IF(M259&lt;&gt;"",YEAR(M259),IF(A259&lt;&gt;"",YEAR(A259),"")))</f>
        <v/>
      </c>
      <c r="S259" s="11">
        <f>IF(I259="","",IF(M259&lt;&gt;"",MONTH(M259),IF(A259&lt;&gt;"",MONTH(A259),"")))</f>
        <v/>
      </c>
    </row>
    <row r="260">
      <c r="A260" s="7" t="n"/>
      <c r="B260" s="8" t="n"/>
      <c r="C260" s="8" t="n"/>
      <c r="D260" s="8" t="n"/>
      <c r="E260" s="8" t="n"/>
      <c r="F260" s="9" t="n"/>
      <c r="G260" s="9" t="n"/>
      <c r="H260" s="8" t="n"/>
      <c r="I260" s="10">
        <f>IF(OR(F260&lt;&gt;"",G260&lt;&gt;""),ROUND(N(F260)+N(G260),2),"")</f>
        <v/>
      </c>
      <c r="J260" s="10">
        <f>IF(I260="","",IF(D260="Sostituto d'imposta",ROUND(I260*Parametri!$B$2,2),0))</f>
        <v/>
      </c>
      <c r="K260" s="11">
        <f>IF(I260="","",IF(I260&gt;Parametri!$B$4,"Si","No"))</f>
        <v/>
      </c>
      <c r="L260" s="10">
        <f>IF(I260="","",I260-J260+IF(AND(K260="Si",H260="Si"),Parametri!$B$3,0))</f>
        <v/>
      </c>
      <c r="M260" s="7" t="n"/>
      <c r="N260" s="9" t="n"/>
      <c r="O260" s="10">
        <f>IF(L260="","",ROUND(L260-N(N260),2))</f>
        <v/>
      </c>
      <c r="P260" s="8" t="n"/>
      <c r="Q260" s="8" t="n"/>
      <c r="R260" s="11">
        <f>IF(I260="","",IF(M260&lt;&gt;"",YEAR(M260),IF(A260&lt;&gt;"",YEAR(A260),"")))</f>
        <v/>
      </c>
      <c r="S260" s="11">
        <f>IF(I260="","",IF(M260&lt;&gt;"",MONTH(M260),IF(A260&lt;&gt;"",MONTH(A260),"")))</f>
        <v/>
      </c>
    </row>
    <row r="261">
      <c r="A261" s="7" t="n"/>
      <c r="B261" s="8" t="n"/>
      <c r="C261" s="8" t="n"/>
      <c r="D261" s="8" t="n"/>
      <c r="E261" s="8" t="n"/>
      <c r="F261" s="9" t="n"/>
      <c r="G261" s="9" t="n"/>
      <c r="H261" s="8" t="n"/>
      <c r="I261" s="10">
        <f>IF(OR(F261&lt;&gt;"",G261&lt;&gt;""),ROUND(N(F261)+N(G261),2),"")</f>
        <v/>
      </c>
      <c r="J261" s="10">
        <f>IF(I261="","",IF(D261="Sostituto d'imposta",ROUND(I261*Parametri!$B$2,2),0))</f>
        <v/>
      </c>
      <c r="K261" s="11">
        <f>IF(I261="","",IF(I261&gt;Parametri!$B$4,"Si","No"))</f>
        <v/>
      </c>
      <c r="L261" s="10">
        <f>IF(I261="","",I261-J261+IF(AND(K261="Si",H261="Si"),Parametri!$B$3,0))</f>
        <v/>
      </c>
      <c r="M261" s="7" t="n"/>
      <c r="N261" s="9" t="n"/>
      <c r="O261" s="10">
        <f>IF(L261="","",ROUND(L261-N(N261),2))</f>
        <v/>
      </c>
      <c r="P261" s="8" t="n"/>
      <c r="Q261" s="8" t="n"/>
      <c r="R261" s="11">
        <f>IF(I261="","",IF(M261&lt;&gt;"",YEAR(M261),IF(A261&lt;&gt;"",YEAR(A261),"")))</f>
        <v/>
      </c>
      <c r="S261" s="11">
        <f>IF(I261="","",IF(M261&lt;&gt;"",MONTH(M261),IF(A261&lt;&gt;"",MONTH(A261),"")))</f>
        <v/>
      </c>
    </row>
    <row r="262">
      <c r="A262" s="7" t="n"/>
      <c r="B262" s="8" t="n"/>
      <c r="C262" s="8" t="n"/>
      <c r="D262" s="8" t="n"/>
      <c r="E262" s="8" t="n"/>
      <c r="F262" s="9" t="n"/>
      <c r="G262" s="9" t="n"/>
      <c r="H262" s="8" t="n"/>
      <c r="I262" s="10">
        <f>IF(OR(F262&lt;&gt;"",G262&lt;&gt;""),ROUND(N(F262)+N(G262),2),"")</f>
        <v/>
      </c>
      <c r="J262" s="10">
        <f>IF(I262="","",IF(D262="Sostituto d'imposta",ROUND(I262*Parametri!$B$2,2),0))</f>
        <v/>
      </c>
      <c r="K262" s="11">
        <f>IF(I262="","",IF(I262&gt;Parametri!$B$4,"Si","No"))</f>
        <v/>
      </c>
      <c r="L262" s="10">
        <f>IF(I262="","",I262-J262+IF(AND(K262="Si",H262="Si"),Parametri!$B$3,0))</f>
        <v/>
      </c>
      <c r="M262" s="7" t="n"/>
      <c r="N262" s="9" t="n"/>
      <c r="O262" s="10">
        <f>IF(L262="","",ROUND(L262-N(N262),2))</f>
        <v/>
      </c>
      <c r="P262" s="8" t="n"/>
      <c r="Q262" s="8" t="n"/>
      <c r="R262" s="11">
        <f>IF(I262="","",IF(M262&lt;&gt;"",YEAR(M262),IF(A262&lt;&gt;"",YEAR(A262),"")))</f>
        <v/>
      </c>
      <c r="S262" s="11">
        <f>IF(I262="","",IF(M262&lt;&gt;"",MONTH(M262),IF(A262&lt;&gt;"",MONTH(A262),"")))</f>
        <v/>
      </c>
    </row>
    <row r="263">
      <c r="A263" s="7" t="n"/>
      <c r="B263" s="8" t="n"/>
      <c r="C263" s="8" t="n"/>
      <c r="D263" s="8" t="n"/>
      <c r="E263" s="8" t="n"/>
      <c r="F263" s="9" t="n"/>
      <c r="G263" s="9" t="n"/>
      <c r="H263" s="8" t="n"/>
      <c r="I263" s="10">
        <f>IF(OR(F263&lt;&gt;"",G263&lt;&gt;""),ROUND(N(F263)+N(G263),2),"")</f>
        <v/>
      </c>
      <c r="J263" s="10">
        <f>IF(I263="","",IF(D263="Sostituto d'imposta",ROUND(I263*Parametri!$B$2,2),0))</f>
        <v/>
      </c>
      <c r="K263" s="11">
        <f>IF(I263="","",IF(I263&gt;Parametri!$B$4,"Si","No"))</f>
        <v/>
      </c>
      <c r="L263" s="10">
        <f>IF(I263="","",I263-J263+IF(AND(K263="Si",H263="Si"),Parametri!$B$3,0))</f>
        <v/>
      </c>
      <c r="M263" s="7" t="n"/>
      <c r="N263" s="9" t="n"/>
      <c r="O263" s="10">
        <f>IF(L263="","",ROUND(L263-N(N263),2))</f>
        <v/>
      </c>
      <c r="P263" s="8" t="n"/>
      <c r="Q263" s="8" t="n"/>
      <c r="R263" s="11">
        <f>IF(I263="","",IF(M263&lt;&gt;"",YEAR(M263),IF(A263&lt;&gt;"",YEAR(A263),"")))</f>
        <v/>
      </c>
      <c r="S263" s="11">
        <f>IF(I263="","",IF(M263&lt;&gt;"",MONTH(M263),IF(A263&lt;&gt;"",MONTH(A263),"")))</f>
        <v/>
      </c>
    </row>
    <row r="264">
      <c r="A264" s="7" t="n"/>
      <c r="B264" s="8" t="n"/>
      <c r="C264" s="8" t="n"/>
      <c r="D264" s="8" t="n"/>
      <c r="E264" s="8" t="n"/>
      <c r="F264" s="9" t="n"/>
      <c r="G264" s="9" t="n"/>
      <c r="H264" s="8" t="n"/>
      <c r="I264" s="10">
        <f>IF(OR(F264&lt;&gt;"",G264&lt;&gt;""),ROUND(N(F264)+N(G264),2),"")</f>
        <v/>
      </c>
      <c r="J264" s="10">
        <f>IF(I264="","",IF(D264="Sostituto d'imposta",ROUND(I264*Parametri!$B$2,2),0))</f>
        <v/>
      </c>
      <c r="K264" s="11">
        <f>IF(I264="","",IF(I264&gt;Parametri!$B$4,"Si","No"))</f>
        <v/>
      </c>
      <c r="L264" s="10">
        <f>IF(I264="","",I264-J264+IF(AND(K264="Si",H264="Si"),Parametri!$B$3,0))</f>
        <v/>
      </c>
      <c r="M264" s="7" t="n"/>
      <c r="N264" s="9" t="n"/>
      <c r="O264" s="10">
        <f>IF(L264="","",ROUND(L264-N(N264),2))</f>
        <v/>
      </c>
      <c r="P264" s="8" t="n"/>
      <c r="Q264" s="8" t="n"/>
      <c r="R264" s="11">
        <f>IF(I264="","",IF(M264&lt;&gt;"",YEAR(M264),IF(A264&lt;&gt;"",YEAR(A264),"")))</f>
        <v/>
      </c>
      <c r="S264" s="11">
        <f>IF(I264="","",IF(M264&lt;&gt;"",MONTH(M264),IF(A264&lt;&gt;"",MONTH(A264),"")))</f>
        <v/>
      </c>
    </row>
    <row r="265">
      <c r="A265" s="7" t="n"/>
      <c r="B265" s="8" t="n"/>
      <c r="C265" s="8" t="n"/>
      <c r="D265" s="8" t="n"/>
      <c r="E265" s="8" t="n"/>
      <c r="F265" s="9" t="n"/>
      <c r="G265" s="9" t="n"/>
      <c r="H265" s="8" t="n"/>
      <c r="I265" s="10">
        <f>IF(OR(F265&lt;&gt;"",G265&lt;&gt;""),ROUND(N(F265)+N(G265),2),"")</f>
        <v/>
      </c>
      <c r="J265" s="10">
        <f>IF(I265="","",IF(D265="Sostituto d'imposta",ROUND(I265*Parametri!$B$2,2),0))</f>
        <v/>
      </c>
      <c r="K265" s="11">
        <f>IF(I265="","",IF(I265&gt;Parametri!$B$4,"Si","No"))</f>
        <v/>
      </c>
      <c r="L265" s="10">
        <f>IF(I265="","",I265-J265+IF(AND(K265="Si",H265="Si"),Parametri!$B$3,0))</f>
        <v/>
      </c>
      <c r="M265" s="7" t="n"/>
      <c r="N265" s="9" t="n"/>
      <c r="O265" s="10">
        <f>IF(L265="","",ROUND(L265-N(N265),2))</f>
        <v/>
      </c>
      <c r="P265" s="8" t="n"/>
      <c r="Q265" s="8" t="n"/>
      <c r="R265" s="11">
        <f>IF(I265="","",IF(M265&lt;&gt;"",YEAR(M265),IF(A265&lt;&gt;"",YEAR(A265),"")))</f>
        <v/>
      </c>
      <c r="S265" s="11">
        <f>IF(I265="","",IF(M265&lt;&gt;"",MONTH(M265),IF(A265&lt;&gt;"",MONTH(A265),"")))</f>
        <v/>
      </c>
    </row>
    <row r="266">
      <c r="A266" s="7" t="n"/>
      <c r="B266" s="8" t="n"/>
      <c r="C266" s="8" t="n"/>
      <c r="D266" s="8" t="n"/>
      <c r="E266" s="8" t="n"/>
      <c r="F266" s="9" t="n"/>
      <c r="G266" s="9" t="n"/>
      <c r="H266" s="8" t="n"/>
      <c r="I266" s="10">
        <f>IF(OR(F266&lt;&gt;"",G266&lt;&gt;""),ROUND(N(F266)+N(G266),2),"")</f>
        <v/>
      </c>
      <c r="J266" s="10">
        <f>IF(I266="","",IF(D266="Sostituto d'imposta",ROUND(I266*Parametri!$B$2,2),0))</f>
        <v/>
      </c>
      <c r="K266" s="11">
        <f>IF(I266="","",IF(I266&gt;Parametri!$B$4,"Si","No"))</f>
        <v/>
      </c>
      <c r="L266" s="10">
        <f>IF(I266="","",I266-J266+IF(AND(K266="Si",H266="Si"),Parametri!$B$3,0))</f>
        <v/>
      </c>
      <c r="M266" s="7" t="n"/>
      <c r="N266" s="9" t="n"/>
      <c r="O266" s="10">
        <f>IF(L266="","",ROUND(L266-N(N266),2))</f>
        <v/>
      </c>
      <c r="P266" s="8" t="n"/>
      <c r="Q266" s="8" t="n"/>
      <c r="R266" s="11">
        <f>IF(I266="","",IF(M266&lt;&gt;"",YEAR(M266),IF(A266&lt;&gt;"",YEAR(A266),"")))</f>
        <v/>
      </c>
      <c r="S266" s="11">
        <f>IF(I266="","",IF(M266&lt;&gt;"",MONTH(M266),IF(A266&lt;&gt;"",MONTH(A266),"")))</f>
        <v/>
      </c>
    </row>
    <row r="267">
      <c r="A267" s="7" t="n"/>
      <c r="B267" s="8" t="n"/>
      <c r="C267" s="8" t="n"/>
      <c r="D267" s="8" t="n"/>
      <c r="E267" s="8" t="n"/>
      <c r="F267" s="9" t="n"/>
      <c r="G267" s="9" t="n"/>
      <c r="H267" s="8" t="n"/>
      <c r="I267" s="10">
        <f>IF(OR(F267&lt;&gt;"",G267&lt;&gt;""),ROUND(N(F267)+N(G267),2),"")</f>
        <v/>
      </c>
      <c r="J267" s="10">
        <f>IF(I267="","",IF(D267="Sostituto d'imposta",ROUND(I267*Parametri!$B$2,2),0))</f>
        <v/>
      </c>
      <c r="K267" s="11">
        <f>IF(I267="","",IF(I267&gt;Parametri!$B$4,"Si","No"))</f>
        <v/>
      </c>
      <c r="L267" s="10">
        <f>IF(I267="","",I267-J267+IF(AND(K267="Si",H267="Si"),Parametri!$B$3,0))</f>
        <v/>
      </c>
      <c r="M267" s="7" t="n"/>
      <c r="N267" s="9" t="n"/>
      <c r="O267" s="10">
        <f>IF(L267="","",ROUND(L267-N(N267),2))</f>
        <v/>
      </c>
      <c r="P267" s="8" t="n"/>
      <c r="Q267" s="8" t="n"/>
      <c r="R267" s="11">
        <f>IF(I267="","",IF(M267&lt;&gt;"",YEAR(M267),IF(A267&lt;&gt;"",YEAR(A267),"")))</f>
        <v/>
      </c>
      <c r="S267" s="11">
        <f>IF(I267="","",IF(M267&lt;&gt;"",MONTH(M267),IF(A267&lt;&gt;"",MONTH(A267),"")))</f>
        <v/>
      </c>
    </row>
    <row r="268">
      <c r="A268" s="7" t="n"/>
      <c r="B268" s="8" t="n"/>
      <c r="C268" s="8" t="n"/>
      <c r="D268" s="8" t="n"/>
      <c r="E268" s="8" t="n"/>
      <c r="F268" s="9" t="n"/>
      <c r="G268" s="9" t="n"/>
      <c r="H268" s="8" t="n"/>
      <c r="I268" s="10">
        <f>IF(OR(F268&lt;&gt;"",G268&lt;&gt;""),ROUND(N(F268)+N(G268),2),"")</f>
        <v/>
      </c>
      <c r="J268" s="10">
        <f>IF(I268="","",IF(D268="Sostituto d'imposta",ROUND(I268*Parametri!$B$2,2),0))</f>
        <v/>
      </c>
      <c r="K268" s="11">
        <f>IF(I268="","",IF(I268&gt;Parametri!$B$4,"Si","No"))</f>
        <v/>
      </c>
      <c r="L268" s="10">
        <f>IF(I268="","",I268-J268+IF(AND(K268="Si",H268="Si"),Parametri!$B$3,0))</f>
        <v/>
      </c>
      <c r="M268" s="7" t="n"/>
      <c r="N268" s="9" t="n"/>
      <c r="O268" s="10">
        <f>IF(L268="","",ROUND(L268-N(N268),2))</f>
        <v/>
      </c>
      <c r="P268" s="8" t="n"/>
      <c r="Q268" s="8" t="n"/>
      <c r="R268" s="11">
        <f>IF(I268="","",IF(M268&lt;&gt;"",YEAR(M268),IF(A268&lt;&gt;"",YEAR(A268),"")))</f>
        <v/>
      </c>
      <c r="S268" s="11">
        <f>IF(I268="","",IF(M268&lt;&gt;"",MONTH(M268),IF(A268&lt;&gt;"",MONTH(A268),"")))</f>
        <v/>
      </c>
    </row>
    <row r="269">
      <c r="A269" s="7" t="n"/>
      <c r="B269" s="8" t="n"/>
      <c r="C269" s="8" t="n"/>
      <c r="D269" s="8" t="n"/>
      <c r="E269" s="8" t="n"/>
      <c r="F269" s="9" t="n"/>
      <c r="G269" s="9" t="n"/>
      <c r="H269" s="8" t="n"/>
      <c r="I269" s="10">
        <f>IF(OR(F269&lt;&gt;"",G269&lt;&gt;""),ROUND(N(F269)+N(G269),2),"")</f>
        <v/>
      </c>
      <c r="J269" s="10">
        <f>IF(I269="","",IF(D269="Sostituto d'imposta",ROUND(I269*Parametri!$B$2,2),0))</f>
        <v/>
      </c>
      <c r="K269" s="11">
        <f>IF(I269="","",IF(I269&gt;Parametri!$B$4,"Si","No"))</f>
        <v/>
      </c>
      <c r="L269" s="10">
        <f>IF(I269="","",I269-J269+IF(AND(K269="Si",H269="Si"),Parametri!$B$3,0))</f>
        <v/>
      </c>
      <c r="M269" s="7" t="n"/>
      <c r="N269" s="9" t="n"/>
      <c r="O269" s="10">
        <f>IF(L269="","",ROUND(L269-N(N269),2))</f>
        <v/>
      </c>
      <c r="P269" s="8" t="n"/>
      <c r="Q269" s="8" t="n"/>
      <c r="R269" s="11">
        <f>IF(I269="","",IF(M269&lt;&gt;"",YEAR(M269),IF(A269&lt;&gt;"",YEAR(A269),"")))</f>
        <v/>
      </c>
      <c r="S269" s="11">
        <f>IF(I269="","",IF(M269&lt;&gt;"",MONTH(M269),IF(A269&lt;&gt;"",MONTH(A269),"")))</f>
        <v/>
      </c>
    </row>
    <row r="270">
      <c r="A270" s="7" t="n"/>
      <c r="B270" s="8" t="n"/>
      <c r="C270" s="8" t="n"/>
      <c r="D270" s="8" t="n"/>
      <c r="E270" s="8" t="n"/>
      <c r="F270" s="9" t="n"/>
      <c r="G270" s="9" t="n"/>
      <c r="H270" s="8" t="n"/>
      <c r="I270" s="10">
        <f>IF(OR(F270&lt;&gt;"",G270&lt;&gt;""),ROUND(N(F270)+N(G270),2),"")</f>
        <v/>
      </c>
      <c r="J270" s="10">
        <f>IF(I270="","",IF(D270="Sostituto d'imposta",ROUND(I270*Parametri!$B$2,2),0))</f>
        <v/>
      </c>
      <c r="K270" s="11">
        <f>IF(I270="","",IF(I270&gt;Parametri!$B$4,"Si","No"))</f>
        <v/>
      </c>
      <c r="L270" s="10">
        <f>IF(I270="","",I270-J270+IF(AND(K270="Si",H270="Si"),Parametri!$B$3,0))</f>
        <v/>
      </c>
      <c r="M270" s="7" t="n"/>
      <c r="N270" s="9" t="n"/>
      <c r="O270" s="10">
        <f>IF(L270="","",ROUND(L270-N(N270),2))</f>
        <v/>
      </c>
      <c r="P270" s="8" t="n"/>
      <c r="Q270" s="8" t="n"/>
      <c r="R270" s="11">
        <f>IF(I270="","",IF(M270&lt;&gt;"",YEAR(M270),IF(A270&lt;&gt;"",YEAR(A270),"")))</f>
        <v/>
      </c>
      <c r="S270" s="11">
        <f>IF(I270="","",IF(M270&lt;&gt;"",MONTH(M270),IF(A270&lt;&gt;"",MONTH(A270),"")))</f>
        <v/>
      </c>
    </row>
    <row r="271">
      <c r="A271" s="7" t="n"/>
      <c r="B271" s="8" t="n"/>
      <c r="C271" s="8" t="n"/>
      <c r="D271" s="8" t="n"/>
      <c r="E271" s="8" t="n"/>
      <c r="F271" s="9" t="n"/>
      <c r="G271" s="9" t="n"/>
      <c r="H271" s="8" t="n"/>
      <c r="I271" s="10">
        <f>IF(OR(F271&lt;&gt;"",G271&lt;&gt;""),ROUND(N(F271)+N(G271),2),"")</f>
        <v/>
      </c>
      <c r="J271" s="10">
        <f>IF(I271="","",IF(D271="Sostituto d'imposta",ROUND(I271*Parametri!$B$2,2),0))</f>
        <v/>
      </c>
      <c r="K271" s="11">
        <f>IF(I271="","",IF(I271&gt;Parametri!$B$4,"Si","No"))</f>
        <v/>
      </c>
      <c r="L271" s="10">
        <f>IF(I271="","",I271-J271+IF(AND(K271="Si",H271="Si"),Parametri!$B$3,0))</f>
        <v/>
      </c>
      <c r="M271" s="7" t="n"/>
      <c r="N271" s="9" t="n"/>
      <c r="O271" s="10">
        <f>IF(L271="","",ROUND(L271-N(N271),2))</f>
        <v/>
      </c>
      <c r="P271" s="8" t="n"/>
      <c r="Q271" s="8" t="n"/>
      <c r="R271" s="11">
        <f>IF(I271="","",IF(M271&lt;&gt;"",YEAR(M271),IF(A271&lt;&gt;"",YEAR(A271),"")))</f>
        <v/>
      </c>
      <c r="S271" s="11">
        <f>IF(I271="","",IF(M271&lt;&gt;"",MONTH(M271),IF(A271&lt;&gt;"",MONTH(A271),"")))</f>
        <v/>
      </c>
    </row>
    <row r="272">
      <c r="A272" s="7" t="n"/>
      <c r="B272" s="8" t="n"/>
      <c r="C272" s="8" t="n"/>
      <c r="D272" s="8" t="n"/>
      <c r="E272" s="8" t="n"/>
      <c r="F272" s="9" t="n"/>
      <c r="G272" s="9" t="n"/>
      <c r="H272" s="8" t="n"/>
      <c r="I272" s="10">
        <f>IF(OR(F272&lt;&gt;"",G272&lt;&gt;""),ROUND(N(F272)+N(G272),2),"")</f>
        <v/>
      </c>
      <c r="J272" s="10">
        <f>IF(I272="","",IF(D272="Sostituto d'imposta",ROUND(I272*Parametri!$B$2,2),0))</f>
        <v/>
      </c>
      <c r="K272" s="11">
        <f>IF(I272="","",IF(I272&gt;Parametri!$B$4,"Si","No"))</f>
        <v/>
      </c>
      <c r="L272" s="10">
        <f>IF(I272="","",I272-J272+IF(AND(K272="Si",H272="Si"),Parametri!$B$3,0))</f>
        <v/>
      </c>
      <c r="M272" s="7" t="n"/>
      <c r="N272" s="9" t="n"/>
      <c r="O272" s="10">
        <f>IF(L272="","",ROUND(L272-N(N272),2))</f>
        <v/>
      </c>
      <c r="P272" s="8" t="n"/>
      <c r="Q272" s="8" t="n"/>
      <c r="R272" s="11">
        <f>IF(I272="","",IF(M272&lt;&gt;"",YEAR(M272),IF(A272&lt;&gt;"",YEAR(A272),"")))</f>
        <v/>
      </c>
      <c r="S272" s="11">
        <f>IF(I272="","",IF(M272&lt;&gt;"",MONTH(M272),IF(A272&lt;&gt;"",MONTH(A272),"")))</f>
        <v/>
      </c>
    </row>
    <row r="273">
      <c r="A273" s="7" t="n"/>
      <c r="B273" s="8" t="n"/>
      <c r="C273" s="8" t="n"/>
      <c r="D273" s="8" t="n"/>
      <c r="E273" s="8" t="n"/>
      <c r="F273" s="9" t="n"/>
      <c r="G273" s="9" t="n"/>
      <c r="H273" s="8" t="n"/>
      <c r="I273" s="10">
        <f>IF(OR(F273&lt;&gt;"",G273&lt;&gt;""),ROUND(N(F273)+N(G273),2),"")</f>
        <v/>
      </c>
      <c r="J273" s="10">
        <f>IF(I273="","",IF(D273="Sostituto d'imposta",ROUND(I273*Parametri!$B$2,2),0))</f>
        <v/>
      </c>
      <c r="K273" s="11">
        <f>IF(I273="","",IF(I273&gt;Parametri!$B$4,"Si","No"))</f>
        <v/>
      </c>
      <c r="L273" s="10">
        <f>IF(I273="","",I273-J273+IF(AND(K273="Si",H273="Si"),Parametri!$B$3,0))</f>
        <v/>
      </c>
      <c r="M273" s="7" t="n"/>
      <c r="N273" s="9" t="n"/>
      <c r="O273" s="10">
        <f>IF(L273="","",ROUND(L273-N(N273),2))</f>
        <v/>
      </c>
      <c r="P273" s="8" t="n"/>
      <c r="Q273" s="8" t="n"/>
      <c r="R273" s="11">
        <f>IF(I273="","",IF(M273&lt;&gt;"",YEAR(M273),IF(A273&lt;&gt;"",YEAR(A273),"")))</f>
        <v/>
      </c>
      <c r="S273" s="11">
        <f>IF(I273="","",IF(M273&lt;&gt;"",MONTH(M273),IF(A273&lt;&gt;"",MONTH(A273),"")))</f>
        <v/>
      </c>
    </row>
    <row r="274">
      <c r="A274" s="7" t="n"/>
      <c r="B274" s="8" t="n"/>
      <c r="C274" s="8" t="n"/>
      <c r="D274" s="8" t="n"/>
      <c r="E274" s="8" t="n"/>
      <c r="F274" s="9" t="n"/>
      <c r="G274" s="9" t="n"/>
      <c r="H274" s="8" t="n"/>
      <c r="I274" s="10">
        <f>IF(OR(F274&lt;&gt;"",G274&lt;&gt;""),ROUND(N(F274)+N(G274),2),"")</f>
        <v/>
      </c>
      <c r="J274" s="10">
        <f>IF(I274="","",IF(D274="Sostituto d'imposta",ROUND(I274*Parametri!$B$2,2),0))</f>
        <v/>
      </c>
      <c r="K274" s="11">
        <f>IF(I274="","",IF(I274&gt;Parametri!$B$4,"Si","No"))</f>
        <v/>
      </c>
      <c r="L274" s="10">
        <f>IF(I274="","",I274-J274+IF(AND(K274="Si",H274="Si"),Parametri!$B$3,0))</f>
        <v/>
      </c>
      <c r="M274" s="7" t="n"/>
      <c r="N274" s="9" t="n"/>
      <c r="O274" s="10">
        <f>IF(L274="","",ROUND(L274-N(N274),2))</f>
        <v/>
      </c>
      <c r="P274" s="8" t="n"/>
      <c r="Q274" s="8" t="n"/>
      <c r="R274" s="11">
        <f>IF(I274="","",IF(M274&lt;&gt;"",YEAR(M274),IF(A274&lt;&gt;"",YEAR(A274),"")))</f>
        <v/>
      </c>
      <c r="S274" s="11">
        <f>IF(I274="","",IF(M274&lt;&gt;"",MONTH(M274),IF(A274&lt;&gt;"",MONTH(A274),"")))</f>
        <v/>
      </c>
    </row>
    <row r="275">
      <c r="A275" s="7" t="n"/>
      <c r="B275" s="8" t="n"/>
      <c r="C275" s="8" t="n"/>
      <c r="D275" s="8" t="n"/>
      <c r="E275" s="8" t="n"/>
      <c r="F275" s="9" t="n"/>
      <c r="G275" s="9" t="n"/>
      <c r="H275" s="8" t="n"/>
      <c r="I275" s="10">
        <f>IF(OR(F275&lt;&gt;"",G275&lt;&gt;""),ROUND(N(F275)+N(G275),2),"")</f>
        <v/>
      </c>
      <c r="J275" s="10">
        <f>IF(I275="","",IF(D275="Sostituto d'imposta",ROUND(I275*Parametri!$B$2,2),0))</f>
        <v/>
      </c>
      <c r="K275" s="11">
        <f>IF(I275="","",IF(I275&gt;Parametri!$B$4,"Si","No"))</f>
        <v/>
      </c>
      <c r="L275" s="10">
        <f>IF(I275="","",I275-J275+IF(AND(K275="Si",H275="Si"),Parametri!$B$3,0))</f>
        <v/>
      </c>
      <c r="M275" s="7" t="n"/>
      <c r="N275" s="9" t="n"/>
      <c r="O275" s="10">
        <f>IF(L275="","",ROUND(L275-N(N275),2))</f>
        <v/>
      </c>
      <c r="P275" s="8" t="n"/>
      <c r="Q275" s="8" t="n"/>
      <c r="R275" s="11">
        <f>IF(I275="","",IF(M275&lt;&gt;"",YEAR(M275),IF(A275&lt;&gt;"",YEAR(A275),"")))</f>
        <v/>
      </c>
      <c r="S275" s="11">
        <f>IF(I275="","",IF(M275&lt;&gt;"",MONTH(M275),IF(A275&lt;&gt;"",MONTH(A275),"")))</f>
        <v/>
      </c>
    </row>
    <row r="276">
      <c r="A276" s="7" t="n"/>
      <c r="B276" s="8" t="n"/>
      <c r="C276" s="8" t="n"/>
      <c r="D276" s="8" t="n"/>
      <c r="E276" s="8" t="n"/>
      <c r="F276" s="9" t="n"/>
      <c r="G276" s="9" t="n"/>
      <c r="H276" s="8" t="n"/>
      <c r="I276" s="10">
        <f>IF(OR(F276&lt;&gt;"",G276&lt;&gt;""),ROUND(N(F276)+N(G276),2),"")</f>
        <v/>
      </c>
      <c r="J276" s="10">
        <f>IF(I276="","",IF(D276="Sostituto d'imposta",ROUND(I276*Parametri!$B$2,2),0))</f>
        <v/>
      </c>
      <c r="K276" s="11">
        <f>IF(I276="","",IF(I276&gt;Parametri!$B$4,"Si","No"))</f>
        <v/>
      </c>
      <c r="L276" s="10">
        <f>IF(I276="","",I276-J276+IF(AND(K276="Si",H276="Si"),Parametri!$B$3,0))</f>
        <v/>
      </c>
      <c r="M276" s="7" t="n"/>
      <c r="N276" s="9" t="n"/>
      <c r="O276" s="10">
        <f>IF(L276="","",ROUND(L276-N(N276),2))</f>
        <v/>
      </c>
      <c r="P276" s="8" t="n"/>
      <c r="Q276" s="8" t="n"/>
      <c r="R276" s="11">
        <f>IF(I276="","",IF(M276&lt;&gt;"",YEAR(M276),IF(A276&lt;&gt;"",YEAR(A276),"")))</f>
        <v/>
      </c>
      <c r="S276" s="11">
        <f>IF(I276="","",IF(M276&lt;&gt;"",MONTH(M276),IF(A276&lt;&gt;"",MONTH(A276),"")))</f>
        <v/>
      </c>
    </row>
    <row r="277">
      <c r="A277" s="7" t="n"/>
      <c r="B277" s="8" t="n"/>
      <c r="C277" s="8" t="n"/>
      <c r="D277" s="8" t="n"/>
      <c r="E277" s="8" t="n"/>
      <c r="F277" s="9" t="n"/>
      <c r="G277" s="9" t="n"/>
      <c r="H277" s="8" t="n"/>
      <c r="I277" s="10">
        <f>IF(OR(F277&lt;&gt;"",G277&lt;&gt;""),ROUND(N(F277)+N(G277),2),"")</f>
        <v/>
      </c>
      <c r="J277" s="10">
        <f>IF(I277="","",IF(D277="Sostituto d'imposta",ROUND(I277*Parametri!$B$2,2),0))</f>
        <v/>
      </c>
      <c r="K277" s="11">
        <f>IF(I277="","",IF(I277&gt;Parametri!$B$4,"Si","No"))</f>
        <v/>
      </c>
      <c r="L277" s="10">
        <f>IF(I277="","",I277-J277+IF(AND(K277="Si",H277="Si"),Parametri!$B$3,0))</f>
        <v/>
      </c>
      <c r="M277" s="7" t="n"/>
      <c r="N277" s="9" t="n"/>
      <c r="O277" s="10">
        <f>IF(L277="","",ROUND(L277-N(N277),2))</f>
        <v/>
      </c>
      <c r="P277" s="8" t="n"/>
      <c r="Q277" s="8" t="n"/>
      <c r="R277" s="11">
        <f>IF(I277="","",IF(M277&lt;&gt;"",YEAR(M277),IF(A277&lt;&gt;"",YEAR(A277),"")))</f>
        <v/>
      </c>
      <c r="S277" s="11">
        <f>IF(I277="","",IF(M277&lt;&gt;"",MONTH(M277),IF(A277&lt;&gt;"",MONTH(A277),"")))</f>
        <v/>
      </c>
    </row>
    <row r="278">
      <c r="A278" s="7" t="n"/>
      <c r="B278" s="8" t="n"/>
      <c r="C278" s="8" t="n"/>
      <c r="D278" s="8" t="n"/>
      <c r="E278" s="8" t="n"/>
      <c r="F278" s="9" t="n"/>
      <c r="G278" s="9" t="n"/>
      <c r="H278" s="8" t="n"/>
      <c r="I278" s="10">
        <f>IF(OR(F278&lt;&gt;"",G278&lt;&gt;""),ROUND(N(F278)+N(G278),2),"")</f>
        <v/>
      </c>
      <c r="J278" s="10">
        <f>IF(I278="","",IF(D278="Sostituto d'imposta",ROUND(I278*Parametri!$B$2,2),0))</f>
        <v/>
      </c>
      <c r="K278" s="11">
        <f>IF(I278="","",IF(I278&gt;Parametri!$B$4,"Si","No"))</f>
        <v/>
      </c>
      <c r="L278" s="10">
        <f>IF(I278="","",I278-J278+IF(AND(K278="Si",H278="Si"),Parametri!$B$3,0))</f>
        <v/>
      </c>
      <c r="M278" s="7" t="n"/>
      <c r="N278" s="9" t="n"/>
      <c r="O278" s="10">
        <f>IF(L278="","",ROUND(L278-N(N278),2))</f>
        <v/>
      </c>
      <c r="P278" s="8" t="n"/>
      <c r="Q278" s="8" t="n"/>
      <c r="R278" s="11">
        <f>IF(I278="","",IF(M278&lt;&gt;"",YEAR(M278),IF(A278&lt;&gt;"",YEAR(A278),"")))</f>
        <v/>
      </c>
      <c r="S278" s="11">
        <f>IF(I278="","",IF(M278&lt;&gt;"",MONTH(M278),IF(A278&lt;&gt;"",MONTH(A278),"")))</f>
        <v/>
      </c>
    </row>
    <row r="279">
      <c r="A279" s="7" t="n"/>
      <c r="B279" s="8" t="n"/>
      <c r="C279" s="8" t="n"/>
      <c r="D279" s="8" t="n"/>
      <c r="E279" s="8" t="n"/>
      <c r="F279" s="9" t="n"/>
      <c r="G279" s="9" t="n"/>
      <c r="H279" s="8" t="n"/>
      <c r="I279" s="10">
        <f>IF(OR(F279&lt;&gt;"",G279&lt;&gt;""),ROUND(N(F279)+N(G279),2),"")</f>
        <v/>
      </c>
      <c r="J279" s="10">
        <f>IF(I279="","",IF(D279="Sostituto d'imposta",ROUND(I279*Parametri!$B$2,2),0))</f>
        <v/>
      </c>
      <c r="K279" s="11">
        <f>IF(I279="","",IF(I279&gt;Parametri!$B$4,"Si","No"))</f>
        <v/>
      </c>
      <c r="L279" s="10">
        <f>IF(I279="","",I279-J279+IF(AND(K279="Si",H279="Si"),Parametri!$B$3,0))</f>
        <v/>
      </c>
      <c r="M279" s="7" t="n"/>
      <c r="N279" s="9" t="n"/>
      <c r="O279" s="10">
        <f>IF(L279="","",ROUND(L279-N(N279),2))</f>
        <v/>
      </c>
      <c r="P279" s="8" t="n"/>
      <c r="Q279" s="8" t="n"/>
      <c r="R279" s="11">
        <f>IF(I279="","",IF(M279&lt;&gt;"",YEAR(M279),IF(A279&lt;&gt;"",YEAR(A279),"")))</f>
        <v/>
      </c>
      <c r="S279" s="11">
        <f>IF(I279="","",IF(M279&lt;&gt;"",MONTH(M279),IF(A279&lt;&gt;"",MONTH(A279),"")))</f>
        <v/>
      </c>
    </row>
    <row r="280">
      <c r="A280" s="7" t="n"/>
      <c r="B280" s="8" t="n"/>
      <c r="C280" s="8" t="n"/>
      <c r="D280" s="8" t="n"/>
      <c r="E280" s="8" t="n"/>
      <c r="F280" s="9" t="n"/>
      <c r="G280" s="9" t="n"/>
      <c r="H280" s="8" t="n"/>
      <c r="I280" s="10">
        <f>IF(OR(F280&lt;&gt;"",G280&lt;&gt;""),ROUND(N(F280)+N(G280),2),"")</f>
        <v/>
      </c>
      <c r="J280" s="10">
        <f>IF(I280="","",IF(D280="Sostituto d'imposta",ROUND(I280*Parametri!$B$2,2),0))</f>
        <v/>
      </c>
      <c r="K280" s="11">
        <f>IF(I280="","",IF(I280&gt;Parametri!$B$4,"Si","No"))</f>
        <v/>
      </c>
      <c r="L280" s="10">
        <f>IF(I280="","",I280-J280+IF(AND(K280="Si",H280="Si"),Parametri!$B$3,0))</f>
        <v/>
      </c>
      <c r="M280" s="7" t="n"/>
      <c r="N280" s="9" t="n"/>
      <c r="O280" s="10">
        <f>IF(L280="","",ROUND(L280-N(N280),2))</f>
        <v/>
      </c>
      <c r="P280" s="8" t="n"/>
      <c r="Q280" s="8" t="n"/>
      <c r="R280" s="11">
        <f>IF(I280="","",IF(M280&lt;&gt;"",YEAR(M280),IF(A280&lt;&gt;"",YEAR(A280),"")))</f>
        <v/>
      </c>
      <c r="S280" s="11">
        <f>IF(I280="","",IF(M280&lt;&gt;"",MONTH(M280),IF(A280&lt;&gt;"",MONTH(A280),"")))</f>
        <v/>
      </c>
    </row>
    <row r="281">
      <c r="A281" s="7" t="n"/>
      <c r="B281" s="8" t="n"/>
      <c r="C281" s="8" t="n"/>
      <c r="D281" s="8" t="n"/>
      <c r="E281" s="8" t="n"/>
      <c r="F281" s="9" t="n"/>
      <c r="G281" s="9" t="n"/>
      <c r="H281" s="8" t="n"/>
      <c r="I281" s="10">
        <f>IF(OR(F281&lt;&gt;"",G281&lt;&gt;""),ROUND(N(F281)+N(G281),2),"")</f>
        <v/>
      </c>
      <c r="J281" s="10">
        <f>IF(I281="","",IF(D281="Sostituto d'imposta",ROUND(I281*Parametri!$B$2,2),0))</f>
        <v/>
      </c>
      <c r="K281" s="11">
        <f>IF(I281="","",IF(I281&gt;Parametri!$B$4,"Si","No"))</f>
        <v/>
      </c>
      <c r="L281" s="10">
        <f>IF(I281="","",I281-J281+IF(AND(K281="Si",H281="Si"),Parametri!$B$3,0))</f>
        <v/>
      </c>
      <c r="M281" s="7" t="n"/>
      <c r="N281" s="9" t="n"/>
      <c r="O281" s="10">
        <f>IF(L281="","",ROUND(L281-N(N281),2))</f>
        <v/>
      </c>
      <c r="P281" s="8" t="n"/>
      <c r="Q281" s="8" t="n"/>
      <c r="R281" s="11">
        <f>IF(I281="","",IF(M281&lt;&gt;"",YEAR(M281),IF(A281&lt;&gt;"",YEAR(A281),"")))</f>
        <v/>
      </c>
      <c r="S281" s="11">
        <f>IF(I281="","",IF(M281&lt;&gt;"",MONTH(M281),IF(A281&lt;&gt;"",MONTH(A281),"")))</f>
        <v/>
      </c>
    </row>
    <row r="282">
      <c r="A282" s="7" t="n"/>
      <c r="B282" s="8" t="n"/>
      <c r="C282" s="8" t="n"/>
      <c r="D282" s="8" t="n"/>
      <c r="E282" s="8" t="n"/>
      <c r="F282" s="9" t="n"/>
      <c r="G282" s="9" t="n"/>
      <c r="H282" s="8" t="n"/>
      <c r="I282" s="10">
        <f>IF(OR(F282&lt;&gt;"",G282&lt;&gt;""),ROUND(N(F282)+N(G282),2),"")</f>
        <v/>
      </c>
      <c r="J282" s="10">
        <f>IF(I282="","",IF(D282="Sostituto d'imposta",ROUND(I282*Parametri!$B$2,2),0))</f>
        <v/>
      </c>
      <c r="K282" s="11">
        <f>IF(I282="","",IF(I282&gt;Parametri!$B$4,"Si","No"))</f>
        <v/>
      </c>
      <c r="L282" s="10">
        <f>IF(I282="","",I282-J282+IF(AND(K282="Si",H282="Si"),Parametri!$B$3,0))</f>
        <v/>
      </c>
      <c r="M282" s="7" t="n"/>
      <c r="N282" s="9" t="n"/>
      <c r="O282" s="10">
        <f>IF(L282="","",ROUND(L282-N(N282),2))</f>
        <v/>
      </c>
      <c r="P282" s="8" t="n"/>
      <c r="Q282" s="8" t="n"/>
      <c r="R282" s="11">
        <f>IF(I282="","",IF(M282&lt;&gt;"",YEAR(M282),IF(A282&lt;&gt;"",YEAR(A282),"")))</f>
        <v/>
      </c>
      <c r="S282" s="11">
        <f>IF(I282="","",IF(M282&lt;&gt;"",MONTH(M282),IF(A282&lt;&gt;"",MONTH(A282),"")))</f>
        <v/>
      </c>
    </row>
    <row r="283">
      <c r="A283" s="7" t="n"/>
      <c r="B283" s="8" t="n"/>
      <c r="C283" s="8" t="n"/>
      <c r="D283" s="8" t="n"/>
      <c r="E283" s="8" t="n"/>
      <c r="F283" s="9" t="n"/>
      <c r="G283" s="9" t="n"/>
      <c r="H283" s="8" t="n"/>
      <c r="I283" s="10">
        <f>IF(OR(F283&lt;&gt;"",G283&lt;&gt;""),ROUND(N(F283)+N(G283),2),"")</f>
        <v/>
      </c>
      <c r="J283" s="10">
        <f>IF(I283="","",IF(D283="Sostituto d'imposta",ROUND(I283*Parametri!$B$2,2),0))</f>
        <v/>
      </c>
      <c r="K283" s="11">
        <f>IF(I283="","",IF(I283&gt;Parametri!$B$4,"Si","No"))</f>
        <v/>
      </c>
      <c r="L283" s="10">
        <f>IF(I283="","",I283-J283+IF(AND(K283="Si",H283="Si"),Parametri!$B$3,0))</f>
        <v/>
      </c>
      <c r="M283" s="7" t="n"/>
      <c r="N283" s="9" t="n"/>
      <c r="O283" s="10">
        <f>IF(L283="","",ROUND(L283-N(N283),2))</f>
        <v/>
      </c>
      <c r="P283" s="8" t="n"/>
      <c r="Q283" s="8" t="n"/>
      <c r="R283" s="11">
        <f>IF(I283="","",IF(M283&lt;&gt;"",YEAR(M283),IF(A283&lt;&gt;"",YEAR(A283),"")))</f>
        <v/>
      </c>
      <c r="S283" s="11">
        <f>IF(I283="","",IF(M283&lt;&gt;"",MONTH(M283),IF(A283&lt;&gt;"",MONTH(A283),"")))</f>
        <v/>
      </c>
    </row>
    <row r="284">
      <c r="A284" s="7" t="n"/>
      <c r="B284" s="8" t="n"/>
      <c r="C284" s="8" t="n"/>
      <c r="D284" s="8" t="n"/>
      <c r="E284" s="8" t="n"/>
      <c r="F284" s="9" t="n"/>
      <c r="G284" s="9" t="n"/>
      <c r="H284" s="8" t="n"/>
      <c r="I284" s="10">
        <f>IF(OR(F284&lt;&gt;"",G284&lt;&gt;""),ROUND(N(F284)+N(G284),2),"")</f>
        <v/>
      </c>
      <c r="J284" s="10">
        <f>IF(I284="","",IF(D284="Sostituto d'imposta",ROUND(I284*Parametri!$B$2,2),0))</f>
        <v/>
      </c>
      <c r="K284" s="11">
        <f>IF(I284="","",IF(I284&gt;Parametri!$B$4,"Si","No"))</f>
        <v/>
      </c>
      <c r="L284" s="10">
        <f>IF(I284="","",I284-J284+IF(AND(K284="Si",H284="Si"),Parametri!$B$3,0))</f>
        <v/>
      </c>
      <c r="M284" s="7" t="n"/>
      <c r="N284" s="9" t="n"/>
      <c r="O284" s="10">
        <f>IF(L284="","",ROUND(L284-N(N284),2))</f>
        <v/>
      </c>
      <c r="P284" s="8" t="n"/>
      <c r="Q284" s="8" t="n"/>
      <c r="R284" s="11">
        <f>IF(I284="","",IF(M284&lt;&gt;"",YEAR(M284),IF(A284&lt;&gt;"",YEAR(A284),"")))</f>
        <v/>
      </c>
      <c r="S284" s="11">
        <f>IF(I284="","",IF(M284&lt;&gt;"",MONTH(M284),IF(A284&lt;&gt;"",MONTH(A284),"")))</f>
        <v/>
      </c>
    </row>
    <row r="285">
      <c r="A285" s="7" t="n"/>
      <c r="B285" s="8" t="n"/>
      <c r="C285" s="8" t="n"/>
      <c r="D285" s="8" t="n"/>
      <c r="E285" s="8" t="n"/>
      <c r="F285" s="9" t="n"/>
      <c r="G285" s="9" t="n"/>
      <c r="H285" s="8" t="n"/>
      <c r="I285" s="10">
        <f>IF(OR(F285&lt;&gt;"",G285&lt;&gt;""),ROUND(N(F285)+N(G285),2),"")</f>
        <v/>
      </c>
      <c r="J285" s="10">
        <f>IF(I285="","",IF(D285="Sostituto d'imposta",ROUND(I285*Parametri!$B$2,2),0))</f>
        <v/>
      </c>
      <c r="K285" s="11">
        <f>IF(I285="","",IF(I285&gt;Parametri!$B$4,"Si","No"))</f>
        <v/>
      </c>
      <c r="L285" s="10">
        <f>IF(I285="","",I285-J285+IF(AND(K285="Si",H285="Si"),Parametri!$B$3,0))</f>
        <v/>
      </c>
      <c r="M285" s="7" t="n"/>
      <c r="N285" s="9" t="n"/>
      <c r="O285" s="10">
        <f>IF(L285="","",ROUND(L285-N(N285),2))</f>
        <v/>
      </c>
      <c r="P285" s="8" t="n"/>
      <c r="Q285" s="8" t="n"/>
      <c r="R285" s="11">
        <f>IF(I285="","",IF(M285&lt;&gt;"",YEAR(M285),IF(A285&lt;&gt;"",YEAR(A285),"")))</f>
        <v/>
      </c>
      <c r="S285" s="11">
        <f>IF(I285="","",IF(M285&lt;&gt;"",MONTH(M285),IF(A285&lt;&gt;"",MONTH(A285),"")))</f>
        <v/>
      </c>
    </row>
    <row r="286">
      <c r="A286" s="7" t="n"/>
      <c r="B286" s="8" t="n"/>
      <c r="C286" s="8" t="n"/>
      <c r="D286" s="8" t="n"/>
      <c r="E286" s="8" t="n"/>
      <c r="F286" s="9" t="n"/>
      <c r="G286" s="9" t="n"/>
      <c r="H286" s="8" t="n"/>
      <c r="I286" s="10">
        <f>IF(OR(F286&lt;&gt;"",G286&lt;&gt;""),ROUND(N(F286)+N(G286),2),"")</f>
        <v/>
      </c>
      <c r="J286" s="10">
        <f>IF(I286="","",IF(D286="Sostituto d'imposta",ROUND(I286*Parametri!$B$2,2),0))</f>
        <v/>
      </c>
      <c r="K286" s="11">
        <f>IF(I286="","",IF(I286&gt;Parametri!$B$4,"Si","No"))</f>
        <v/>
      </c>
      <c r="L286" s="10">
        <f>IF(I286="","",I286-J286+IF(AND(K286="Si",H286="Si"),Parametri!$B$3,0))</f>
        <v/>
      </c>
      <c r="M286" s="7" t="n"/>
      <c r="N286" s="9" t="n"/>
      <c r="O286" s="10">
        <f>IF(L286="","",ROUND(L286-N(N286),2))</f>
        <v/>
      </c>
      <c r="P286" s="8" t="n"/>
      <c r="Q286" s="8" t="n"/>
      <c r="R286" s="11">
        <f>IF(I286="","",IF(M286&lt;&gt;"",YEAR(M286),IF(A286&lt;&gt;"",YEAR(A286),"")))</f>
        <v/>
      </c>
      <c r="S286" s="11">
        <f>IF(I286="","",IF(M286&lt;&gt;"",MONTH(M286),IF(A286&lt;&gt;"",MONTH(A286),"")))</f>
        <v/>
      </c>
    </row>
    <row r="287">
      <c r="A287" s="7" t="n"/>
      <c r="B287" s="8" t="n"/>
      <c r="C287" s="8" t="n"/>
      <c r="D287" s="8" t="n"/>
      <c r="E287" s="8" t="n"/>
      <c r="F287" s="9" t="n"/>
      <c r="G287" s="9" t="n"/>
      <c r="H287" s="8" t="n"/>
      <c r="I287" s="10">
        <f>IF(OR(F287&lt;&gt;"",G287&lt;&gt;""),ROUND(N(F287)+N(G287),2),"")</f>
        <v/>
      </c>
      <c r="J287" s="10">
        <f>IF(I287="","",IF(D287="Sostituto d'imposta",ROUND(I287*Parametri!$B$2,2),0))</f>
        <v/>
      </c>
      <c r="K287" s="11">
        <f>IF(I287="","",IF(I287&gt;Parametri!$B$4,"Si","No"))</f>
        <v/>
      </c>
      <c r="L287" s="10">
        <f>IF(I287="","",I287-J287+IF(AND(K287="Si",H287="Si"),Parametri!$B$3,0))</f>
        <v/>
      </c>
      <c r="M287" s="7" t="n"/>
      <c r="N287" s="9" t="n"/>
      <c r="O287" s="10">
        <f>IF(L287="","",ROUND(L287-N(N287),2))</f>
        <v/>
      </c>
      <c r="P287" s="8" t="n"/>
      <c r="Q287" s="8" t="n"/>
      <c r="R287" s="11">
        <f>IF(I287="","",IF(M287&lt;&gt;"",YEAR(M287),IF(A287&lt;&gt;"",YEAR(A287),"")))</f>
        <v/>
      </c>
      <c r="S287" s="11">
        <f>IF(I287="","",IF(M287&lt;&gt;"",MONTH(M287),IF(A287&lt;&gt;"",MONTH(A287),"")))</f>
        <v/>
      </c>
    </row>
    <row r="288">
      <c r="A288" s="7" t="n"/>
      <c r="B288" s="8" t="n"/>
      <c r="C288" s="8" t="n"/>
      <c r="D288" s="8" t="n"/>
      <c r="E288" s="8" t="n"/>
      <c r="F288" s="9" t="n"/>
      <c r="G288" s="9" t="n"/>
      <c r="H288" s="8" t="n"/>
      <c r="I288" s="10">
        <f>IF(OR(F288&lt;&gt;"",G288&lt;&gt;""),ROUND(N(F288)+N(G288),2),"")</f>
        <v/>
      </c>
      <c r="J288" s="10">
        <f>IF(I288="","",IF(D288="Sostituto d'imposta",ROUND(I288*Parametri!$B$2,2),0))</f>
        <v/>
      </c>
      <c r="K288" s="11">
        <f>IF(I288="","",IF(I288&gt;Parametri!$B$4,"Si","No"))</f>
        <v/>
      </c>
      <c r="L288" s="10">
        <f>IF(I288="","",I288-J288+IF(AND(K288="Si",H288="Si"),Parametri!$B$3,0))</f>
        <v/>
      </c>
      <c r="M288" s="7" t="n"/>
      <c r="N288" s="9" t="n"/>
      <c r="O288" s="10">
        <f>IF(L288="","",ROUND(L288-N(N288),2))</f>
        <v/>
      </c>
      <c r="P288" s="8" t="n"/>
      <c r="Q288" s="8" t="n"/>
      <c r="R288" s="11">
        <f>IF(I288="","",IF(M288&lt;&gt;"",YEAR(M288),IF(A288&lt;&gt;"",YEAR(A288),"")))</f>
        <v/>
      </c>
      <c r="S288" s="11">
        <f>IF(I288="","",IF(M288&lt;&gt;"",MONTH(M288),IF(A288&lt;&gt;"",MONTH(A288),"")))</f>
        <v/>
      </c>
    </row>
    <row r="289">
      <c r="A289" s="7" t="n"/>
      <c r="B289" s="8" t="n"/>
      <c r="C289" s="8" t="n"/>
      <c r="D289" s="8" t="n"/>
      <c r="E289" s="8" t="n"/>
      <c r="F289" s="9" t="n"/>
      <c r="G289" s="9" t="n"/>
      <c r="H289" s="8" t="n"/>
      <c r="I289" s="10">
        <f>IF(OR(F289&lt;&gt;"",G289&lt;&gt;""),ROUND(N(F289)+N(G289),2),"")</f>
        <v/>
      </c>
      <c r="J289" s="10">
        <f>IF(I289="","",IF(D289="Sostituto d'imposta",ROUND(I289*Parametri!$B$2,2),0))</f>
        <v/>
      </c>
      <c r="K289" s="11">
        <f>IF(I289="","",IF(I289&gt;Parametri!$B$4,"Si","No"))</f>
        <v/>
      </c>
      <c r="L289" s="10">
        <f>IF(I289="","",I289-J289+IF(AND(K289="Si",H289="Si"),Parametri!$B$3,0))</f>
        <v/>
      </c>
      <c r="M289" s="7" t="n"/>
      <c r="N289" s="9" t="n"/>
      <c r="O289" s="10">
        <f>IF(L289="","",ROUND(L289-N(N289),2))</f>
        <v/>
      </c>
      <c r="P289" s="8" t="n"/>
      <c r="Q289" s="8" t="n"/>
      <c r="R289" s="11">
        <f>IF(I289="","",IF(M289&lt;&gt;"",YEAR(M289),IF(A289&lt;&gt;"",YEAR(A289),"")))</f>
        <v/>
      </c>
      <c r="S289" s="11">
        <f>IF(I289="","",IF(M289&lt;&gt;"",MONTH(M289),IF(A289&lt;&gt;"",MONTH(A289),"")))</f>
        <v/>
      </c>
    </row>
    <row r="290">
      <c r="A290" s="7" t="n"/>
      <c r="B290" s="8" t="n"/>
      <c r="C290" s="8" t="n"/>
      <c r="D290" s="8" t="n"/>
      <c r="E290" s="8" t="n"/>
      <c r="F290" s="9" t="n"/>
      <c r="G290" s="9" t="n"/>
      <c r="H290" s="8" t="n"/>
      <c r="I290" s="10">
        <f>IF(OR(F290&lt;&gt;"",G290&lt;&gt;""),ROUND(N(F290)+N(G290),2),"")</f>
        <v/>
      </c>
      <c r="J290" s="10">
        <f>IF(I290="","",IF(D290="Sostituto d'imposta",ROUND(I290*Parametri!$B$2,2),0))</f>
        <v/>
      </c>
      <c r="K290" s="11">
        <f>IF(I290="","",IF(I290&gt;Parametri!$B$4,"Si","No"))</f>
        <v/>
      </c>
      <c r="L290" s="10">
        <f>IF(I290="","",I290-J290+IF(AND(K290="Si",H290="Si"),Parametri!$B$3,0))</f>
        <v/>
      </c>
      <c r="M290" s="7" t="n"/>
      <c r="N290" s="9" t="n"/>
      <c r="O290" s="10">
        <f>IF(L290="","",ROUND(L290-N(N290),2))</f>
        <v/>
      </c>
      <c r="P290" s="8" t="n"/>
      <c r="Q290" s="8" t="n"/>
      <c r="R290" s="11">
        <f>IF(I290="","",IF(M290&lt;&gt;"",YEAR(M290),IF(A290&lt;&gt;"",YEAR(A290),"")))</f>
        <v/>
      </c>
      <c r="S290" s="11">
        <f>IF(I290="","",IF(M290&lt;&gt;"",MONTH(M290),IF(A290&lt;&gt;"",MONTH(A290),"")))</f>
        <v/>
      </c>
    </row>
    <row r="291">
      <c r="A291" s="7" t="n"/>
      <c r="B291" s="8" t="n"/>
      <c r="C291" s="8" t="n"/>
      <c r="D291" s="8" t="n"/>
      <c r="E291" s="8" t="n"/>
      <c r="F291" s="9" t="n"/>
      <c r="G291" s="9" t="n"/>
      <c r="H291" s="8" t="n"/>
      <c r="I291" s="10">
        <f>IF(OR(F291&lt;&gt;"",G291&lt;&gt;""),ROUND(N(F291)+N(G291),2),"")</f>
        <v/>
      </c>
      <c r="J291" s="10">
        <f>IF(I291="","",IF(D291="Sostituto d'imposta",ROUND(I291*Parametri!$B$2,2),0))</f>
        <v/>
      </c>
      <c r="K291" s="11">
        <f>IF(I291="","",IF(I291&gt;Parametri!$B$4,"Si","No"))</f>
        <v/>
      </c>
      <c r="L291" s="10">
        <f>IF(I291="","",I291-J291+IF(AND(K291="Si",H291="Si"),Parametri!$B$3,0))</f>
        <v/>
      </c>
      <c r="M291" s="7" t="n"/>
      <c r="N291" s="9" t="n"/>
      <c r="O291" s="10">
        <f>IF(L291="","",ROUND(L291-N(N291),2))</f>
        <v/>
      </c>
      <c r="P291" s="8" t="n"/>
      <c r="Q291" s="8" t="n"/>
      <c r="R291" s="11">
        <f>IF(I291="","",IF(M291&lt;&gt;"",YEAR(M291),IF(A291&lt;&gt;"",YEAR(A291),"")))</f>
        <v/>
      </c>
      <c r="S291" s="11">
        <f>IF(I291="","",IF(M291&lt;&gt;"",MONTH(M291),IF(A291&lt;&gt;"",MONTH(A291),"")))</f>
        <v/>
      </c>
    </row>
    <row r="292">
      <c r="A292" s="7" t="n"/>
      <c r="B292" s="8" t="n"/>
      <c r="C292" s="8" t="n"/>
      <c r="D292" s="8" t="n"/>
      <c r="E292" s="8" t="n"/>
      <c r="F292" s="9" t="n"/>
      <c r="G292" s="9" t="n"/>
      <c r="H292" s="8" t="n"/>
      <c r="I292" s="10">
        <f>IF(OR(F292&lt;&gt;"",G292&lt;&gt;""),ROUND(N(F292)+N(G292),2),"")</f>
        <v/>
      </c>
      <c r="J292" s="10">
        <f>IF(I292="","",IF(D292="Sostituto d'imposta",ROUND(I292*Parametri!$B$2,2),0))</f>
        <v/>
      </c>
      <c r="K292" s="11">
        <f>IF(I292="","",IF(I292&gt;Parametri!$B$4,"Si","No"))</f>
        <v/>
      </c>
      <c r="L292" s="10">
        <f>IF(I292="","",I292-J292+IF(AND(K292="Si",H292="Si"),Parametri!$B$3,0))</f>
        <v/>
      </c>
      <c r="M292" s="7" t="n"/>
      <c r="N292" s="9" t="n"/>
      <c r="O292" s="10">
        <f>IF(L292="","",ROUND(L292-N(N292),2))</f>
        <v/>
      </c>
      <c r="P292" s="8" t="n"/>
      <c r="Q292" s="8" t="n"/>
      <c r="R292" s="11">
        <f>IF(I292="","",IF(M292&lt;&gt;"",YEAR(M292),IF(A292&lt;&gt;"",YEAR(A292),"")))</f>
        <v/>
      </c>
      <c r="S292" s="11">
        <f>IF(I292="","",IF(M292&lt;&gt;"",MONTH(M292),IF(A292&lt;&gt;"",MONTH(A292),"")))</f>
        <v/>
      </c>
    </row>
    <row r="293">
      <c r="A293" s="7" t="n"/>
      <c r="B293" s="8" t="n"/>
      <c r="C293" s="8" t="n"/>
      <c r="D293" s="8" t="n"/>
      <c r="E293" s="8" t="n"/>
      <c r="F293" s="9" t="n"/>
      <c r="G293" s="9" t="n"/>
      <c r="H293" s="8" t="n"/>
      <c r="I293" s="10">
        <f>IF(OR(F293&lt;&gt;"",G293&lt;&gt;""),ROUND(N(F293)+N(G293),2),"")</f>
        <v/>
      </c>
      <c r="J293" s="10">
        <f>IF(I293="","",IF(D293="Sostituto d'imposta",ROUND(I293*Parametri!$B$2,2),0))</f>
        <v/>
      </c>
      <c r="K293" s="11">
        <f>IF(I293="","",IF(I293&gt;Parametri!$B$4,"Si","No"))</f>
        <v/>
      </c>
      <c r="L293" s="10">
        <f>IF(I293="","",I293-J293+IF(AND(K293="Si",H293="Si"),Parametri!$B$3,0))</f>
        <v/>
      </c>
      <c r="M293" s="7" t="n"/>
      <c r="N293" s="9" t="n"/>
      <c r="O293" s="10">
        <f>IF(L293="","",ROUND(L293-N(N293),2))</f>
        <v/>
      </c>
      <c r="P293" s="8" t="n"/>
      <c r="Q293" s="8" t="n"/>
      <c r="R293" s="11">
        <f>IF(I293="","",IF(M293&lt;&gt;"",YEAR(M293),IF(A293&lt;&gt;"",YEAR(A293),"")))</f>
        <v/>
      </c>
      <c r="S293" s="11">
        <f>IF(I293="","",IF(M293&lt;&gt;"",MONTH(M293),IF(A293&lt;&gt;"",MONTH(A293),"")))</f>
        <v/>
      </c>
    </row>
    <row r="294">
      <c r="A294" s="7" t="n"/>
      <c r="B294" s="8" t="n"/>
      <c r="C294" s="8" t="n"/>
      <c r="D294" s="8" t="n"/>
      <c r="E294" s="8" t="n"/>
      <c r="F294" s="9" t="n"/>
      <c r="G294" s="9" t="n"/>
      <c r="H294" s="8" t="n"/>
      <c r="I294" s="10">
        <f>IF(OR(F294&lt;&gt;"",G294&lt;&gt;""),ROUND(N(F294)+N(G294),2),"")</f>
        <v/>
      </c>
      <c r="J294" s="10">
        <f>IF(I294="","",IF(D294="Sostituto d'imposta",ROUND(I294*Parametri!$B$2,2),0))</f>
        <v/>
      </c>
      <c r="K294" s="11">
        <f>IF(I294="","",IF(I294&gt;Parametri!$B$4,"Si","No"))</f>
        <v/>
      </c>
      <c r="L294" s="10">
        <f>IF(I294="","",I294-J294+IF(AND(K294="Si",H294="Si"),Parametri!$B$3,0))</f>
        <v/>
      </c>
      <c r="M294" s="7" t="n"/>
      <c r="N294" s="9" t="n"/>
      <c r="O294" s="10">
        <f>IF(L294="","",ROUND(L294-N(N294),2))</f>
        <v/>
      </c>
      <c r="P294" s="8" t="n"/>
      <c r="Q294" s="8" t="n"/>
      <c r="R294" s="11">
        <f>IF(I294="","",IF(M294&lt;&gt;"",YEAR(M294),IF(A294&lt;&gt;"",YEAR(A294),"")))</f>
        <v/>
      </c>
      <c r="S294" s="11">
        <f>IF(I294="","",IF(M294&lt;&gt;"",MONTH(M294),IF(A294&lt;&gt;"",MONTH(A294),"")))</f>
        <v/>
      </c>
    </row>
    <row r="295">
      <c r="A295" s="7" t="n"/>
      <c r="B295" s="8" t="n"/>
      <c r="C295" s="8" t="n"/>
      <c r="D295" s="8" t="n"/>
      <c r="E295" s="8" t="n"/>
      <c r="F295" s="9" t="n"/>
      <c r="G295" s="9" t="n"/>
      <c r="H295" s="8" t="n"/>
      <c r="I295" s="10">
        <f>IF(OR(F295&lt;&gt;"",G295&lt;&gt;""),ROUND(N(F295)+N(G295),2),"")</f>
        <v/>
      </c>
      <c r="J295" s="10">
        <f>IF(I295="","",IF(D295="Sostituto d'imposta",ROUND(I295*Parametri!$B$2,2),0))</f>
        <v/>
      </c>
      <c r="K295" s="11">
        <f>IF(I295="","",IF(I295&gt;Parametri!$B$4,"Si","No"))</f>
        <v/>
      </c>
      <c r="L295" s="10">
        <f>IF(I295="","",I295-J295+IF(AND(K295="Si",H295="Si"),Parametri!$B$3,0))</f>
        <v/>
      </c>
      <c r="M295" s="7" t="n"/>
      <c r="N295" s="9" t="n"/>
      <c r="O295" s="10">
        <f>IF(L295="","",ROUND(L295-N(N295),2))</f>
        <v/>
      </c>
      <c r="P295" s="8" t="n"/>
      <c r="Q295" s="8" t="n"/>
      <c r="R295" s="11">
        <f>IF(I295="","",IF(M295&lt;&gt;"",YEAR(M295),IF(A295&lt;&gt;"",YEAR(A295),"")))</f>
        <v/>
      </c>
      <c r="S295" s="11">
        <f>IF(I295="","",IF(M295&lt;&gt;"",MONTH(M295),IF(A295&lt;&gt;"",MONTH(A295),"")))</f>
        <v/>
      </c>
    </row>
    <row r="296">
      <c r="A296" s="7" t="n"/>
      <c r="B296" s="8" t="n"/>
      <c r="C296" s="8" t="n"/>
      <c r="D296" s="8" t="n"/>
      <c r="E296" s="8" t="n"/>
      <c r="F296" s="9" t="n"/>
      <c r="G296" s="9" t="n"/>
      <c r="H296" s="8" t="n"/>
      <c r="I296" s="10">
        <f>IF(OR(F296&lt;&gt;"",G296&lt;&gt;""),ROUND(N(F296)+N(G296),2),"")</f>
        <v/>
      </c>
      <c r="J296" s="10">
        <f>IF(I296="","",IF(D296="Sostituto d'imposta",ROUND(I296*Parametri!$B$2,2),0))</f>
        <v/>
      </c>
      <c r="K296" s="11">
        <f>IF(I296="","",IF(I296&gt;Parametri!$B$4,"Si","No"))</f>
        <v/>
      </c>
      <c r="L296" s="10">
        <f>IF(I296="","",I296-J296+IF(AND(K296="Si",H296="Si"),Parametri!$B$3,0))</f>
        <v/>
      </c>
      <c r="M296" s="7" t="n"/>
      <c r="N296" s="9" t="n"/>
      <c r="O296" s="10">
        <f>IF(L296="","",ROUND(L296-N(N296),2))</f>
        <v/>
      </c>
      <c r="P296" s="8" t="n"/>
      <c r="Q296" s="8" t="n"/>
      <c r="R296" s="11">
        <f>IF(I296="","",IF(M296&lt;&gt;"",YEAR(M296),IF(A296&lt;&gt;"",YEAR(A296),"")))</f>
        <v/>
      </c>
      <c r="S296" s="11">
        <f>IF(I296="","",IF(M296&lt;&gt;"",MONTH(M296),IF(A296&lt;&gt;"",MONTH(A296),"")))</f>
        <v/>
      </c>
    </row>
    <row r="297">
      <c r="A297" s="7" t="n"/>
      <c r="B297" s="8" t="n"/>
      <c r="C297" s="8" t="n"/>
      <c r="D297" s="8" t="n"/>
      <c r="E297" s="8" t="n"/>
      <c r="F297" s="9" t="n"/>
      <c r="G297" s="9" t="n"/>
      <c r="H297" s="8" t="n"/>
      <c r="I297" s="10">
        <f>IF(OR(F297&lt;&gt;"",G297&lt;&gt;""),ROUND(N(F297)+N(G297),2),"")</f>
        <v/>
      </c>
      <c r="J297" s="10">
        <f>IF(I297="","",IF(D297="Sostituto d'imposta",ROUND(I297*Parametri!$B$2,2),0))</f>
        <v/>
      </c>
      <c r="K297" s="11">
        <f>IF(I297="","",IF(I297&gt;Parametri!$B$4,"Si","No"))</f>
        <v/>
      </c>
      <c r="L297" s="10">
        <f>IF(I297="","",I297-J297+IF(AND(K297="Si",H297="Si"),Parametri!$B$3,0))</f>
        <v/>
      </c>
      <c r="M297" s="7" t="n"/>
      <c r="N297" s="9" t="n"/>
      <c r="O297" s="10">
        <f>IF(L297="","",ROUND(L297-N(N297),2))</f>
        <v/>
      </c>
      <c r="P297" s="8" t="n"/>
      <c r="Q297" s="8" t="n"/>
      <c r="R297" s="11">
        <f>IF(I297="","",IF(M297&lt;&gt;"",YEAR(M297),IF(A297&lt;&gt;"",YEAR(A297),"")))</f>
        <v/>
      </c>
      <c r="S297" s="11">
        <f>IF(I297="","",IF(M297&lt;&gt;"",MONTH(M297),IF(A297&lt;&gt;"",MONTH(A297),"")))</f>
        <v/>
      </c>
    </row>
    <row r="298">
      <c r="A298" s="7" t="n"/>
      <c r="B298" s="8" t="n"/>
      <c r="C298" s="8" t="n"/>
      <c r="D298" s="8" t="n"/>
      <c r="E298" s="8" t="n"/>
      <c r="F298" s="9" t="n"/>
      <c r="G298" s="9" t="n"/>
      <c r="H298" s="8" t="n"/>
      <c r="I298" s="10">
        <f>IF(OR(F298&lt;&gt;"",G298&lt;&gt;""),ROUND(N(F298)+N(G298),2),"")</f>
        <v/>
      </c>
      <c r="J298" s="10">
        <f>IF(I298="","",IF(D298="Sostituto d'imposta",ROUND(I298*Parametri!$B$2,2),0))</f>
        <v/>
      </c>
      <c r="K298" s="11">
        <f>IF(I298="","",IF(I298&gt;Parametri!$B$4,"Si","No"))</f>
        <v/>
      </c>
      <c r="L298" s="10">
        <f>IF(I298="","",I298-J298+IF(AND(K298="Si",H298="Si"),Parametri!$B$3,0))</f>
        <v/>
      </c>
      <c r="M298" s="7" t="n"/>
      <c r="N298" s="9" t="n"/>
      <c r="O298" s="10">
        <f>IF(L298="","",ROUND(L298-N(N298),2))</f>
        <v/>
      </c>
      <c r="P298" s="8" t="n"/>
      <c r="Q298" s="8" t="n"/>
      <c r="R298" s="11">
        <f>IF(I298="","",IF(M298&lt;&gt;"",YEAR(M298),IF(A298&lt;&gt;"",YEAR(A298),"")))</f>
        <v/>
      </c>
      <c r="S298" s="11">
        <f>IF(I298="","",IF(M298&lt;&gt;"",MONTH(M298),IF(A298&lt;&gt;"",MONTH(A298),"")))</f>
        <v/>
      </c>
    </row>
    <row r="299">
      <c r="A299" s="7" t="n"/>
      <c r="B299" s="8" t="n"/>
      <c r="C299" s="8" t="n"/>
      <c r="D299" s="8" t="n"/>
      <c r="E299" s="8" t="n"/>
      <c r="F299" s="9" t="n"/>
      <c r="G299" s="9" t="n"/>
      <c r="H299" s="8" t="n"/>
      <c r="I299" s="10">
        <f>IF(OR(F299&lt;&gt;"",G299&lt;&gt;""),ROUND(N(F299)+N(G299),2),"")</f>
        <v/>
      </c>
      <c r="J299" s="10">
        <f>IF(I299="","",IF(D299="Sostituto d'imposta",ROUND(I299*Parametri!$B$2,2),0))</f>
        <v/>
      </c>
      <c r="K299" s="11">
        <f>IF(I299="","",IF(I299&gt;Parametri!$B$4,"Si","No"))</f>
        <v/>
      </c>
      <c r="L299" s="10">
        <f>IF(I299="","",I299-J299+IF(AND(K299="Si",H299="Si"),Parametri!$B$3,0))</f>
        <v/>
      </c>
      <c r="M299" s="7" t="n"/>
      <c r="N299" s="9" t="n"/>
      <c r="O299" s="10">
        <f>IF(L299="","",ROUND(L299-N(N299),2))</f>
        <v/>
      </c>
      <c r="P299" s="8" t="n"/>
      <c r="Q299" s="8" t="n"/>
      <c r="R299" s="11">
        <f>IF(I299="","",IF(M299&lt;&gt;"",YEAR(M299),IF(A299&lt;&gt;"",YEAR(A299),"")))</f>
        <v/>
      </c>
      <c r="S299" s="11">
        <f>IF(I299="","",IF(M299&lt;&gt;"",MONTH(M299),IF(A299&lt;&gt;"",MONTH(A299),"")))</f>
        <v/>
      </c>
    </row>
    <row r="300">
      <c r="A300" s="7" t="n"/>
      <c r="B300" s="8" t="n"/>
      <c r="C300" s="8" t="n"/>
      <c r="D300" s="8" t="n"/>
      <c r="E300" s="8" t="n"/>
      <c r="F300" s="9" t="n"/>
      <c r="G300" s="9" t="n"/>
      <c r="H300" s="8" t="n"/>
      <c r="I300" s="10">
        <f>IF(OR(F300&lt;&gt;"",G300&lt;&gt;""),ROUND(N(F300)+N(G300),2),"")</f>
        <v/>
      </c>
      <c r="J300" s="10">
        <f>IF(I300="","",IF(D300="Sostituto d'imposta",ROUND(I300*Parametri!$B$2,2),0))</f>
        <v/>
      </c>
      <c r="K300" s="11">
        <f>IF(I300="","",IF(I300&gt;Parametri!$B$4,"Si","No"))</f>
        <v/>
      </c>
      <c r="L300" s="10">
        <f>IF(I300="","",I300-J300+IF(AND(K300="Si",H300="Si"),Parametri!$B$3,0))</f>
        <v/>
      </c>
      <c r="M300" s="7" t="n"/>
      <c r="N300" s="9" t="n"/>
      <c r="O300" s="10">
        <f>IF(L300="","",ROUND(L300-N(N300),2))</f>
        <v/>
      </c>
      <c r="P300" s="8" t="n"/>
      <c r="Q300" s="8" t="n"/>
      <c r="R300" s="11">
        <f>IF(I300="","",IF(M300&lt;&gt;"",YEAR(M300),IF(A300&lt;&gt;"",YEAR(A300),"")))</f>
        <v/>
      </c>
      <c r="S300" s="11">
        <f>IF(I300="","",IF(M300&lt;&gt;"",MONTH(M300),IF(A300&lt;&gt;"",MONTH(A300),"")))</f>
        <v/>
      </c>
    </row>
    <row r="301">
      <c r="A301" s="7" t="n"/>
      <c r="B301" s="8" t="n"/>
      <c r="C301" s="8" t="n"/>
      <c r="D301" s="8" t="n"/>
      <c r="E301" s="8" t="n"/>
      <c r="F301" s="9" t="n"/>
      <c r="G301" s="9" t="n"/>
      <c r="H301" s="8" t="n"/>
      <c r="I301" s="10">
        <f>IF(OR(F301&lt;&gt;"",G301&lt;&gt;""),ROUND(N(F301)+N(G301),2),"")</f>
        <v/>
      </c>
      <c r="J301" s="10">
        <f>IF(I301="","",IF(D301="Sostituto d'imposta",ROUND(I301*Parametri!$B$2,2),0))</f>
        <v/>
      </c>
      <c r="K301" s="11">
        <f>IF(I301="","",IF(I301&gt;Parametri!$B$4,"Si","No"))</f>
        <v/>
      </c>
      <c r="L301" s="10">
        <f>IF(I301="","",I301-J301+IF(AND(K301="Si",H301="Si"),Parametri!$B$3,0))</f>
        <v/>
      </c>
      <c r="M301" s="7" t="n"/>
      <c r="N301" s="9" t="n"/>
      <c r="O301" s="10">
        <f>IF(L301="","",ROUND(L301-N(N301),2))</f>
        <v/>
      </c>
      <c r="P301" s="8" t="n"/>
      <c r="Q301" s="8" t="n"/>
      <c r="R301" s="11">
        <f>IF(I301="","",IF(M301&lt;&gt;"",YEAR(M301),IF(A301&lt;&gt;"",YEAR(A301),"")))</f>
        <v/>
      </c>
      <c r="S301" s="11">
        <f>IF(I301="","",IF(M301&lt;&gt;"",MONTH(M301),IF(A301&lt;&gt;"",MONTH(A301),"")))</f>
        <v/>
      </c>
    </row>
  </sheetData>
  <conditionalFormatting sqref="O2:O301">
    <cfRule type="expression" priority="1" dxfId="0">
      <formula>AND(ISNUMBER($O2),$O2&gt;0.004)</formula>
    </cfRule>
  </conditionalFormatting>
  <conditionalFormatting sqref="P2:P301">
    <cfRule type="expression" priority="2" dxfId="1">
      <formula>AND($D2="Sostituto d'imposta",$P2&lt;&gt;"Si",$I2&lt;&gt;"")</formula>
    </cfRule>
  </conditionalFormatting>
  <dataValidations count="3">
    <dataValidation sqref="D2:D301" showDropDown="0" showInputMessage="0" showErrorMessage="0" allowBlank="1" type="list">
      <formula1>"Sostituto d'imposta,Privato"</formula1>
    </dataValidation>
    <dataValidation sqref="H2:H301" showDropDown="0" showInputMessage="0" showErrorMessage="0" allowBlank="1" type="list">
      <formula1>"Si,No"</formula1>
    </dataValidation>
    <dataValidation sqref="P2:P301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</cols>
  <sheetData>
    <row r="1">
      <c r="A1" s="12" t="inlineStr">
        <is>
          <t>Riepilogo annuale compensi occasionali</t>
        </is>
      </c>
    </row>
    <row r="2">
      <c r="A2" t="inlineStr">
        <is>
          <t>Anno (di incasso, o della ricevuta se non ancora incassata):</t>
        </is>
      </c>
      <c r="B2" s="13" t="n">
        <v>2026</v>
      </c>
    </row>
    <row r="4">
      <c r="A4" s="6" t="inlineStr">
        <is>
          <t>Voce</t>
        </is>
      </c>
      <c r="B4" s="6" t="inlineStr">
        <is>
          <t>Valore</t>
        </is>
      </c>
    </row>
    <row r="5">
      <c r="A5" s="11" t="inlineStr">
        <is>
          <t>Numero ricevute</t>
        </is>
      </c>
      <c r="B5" s="14">
        <f>COUNTIFS(Ricevute!$R$2:$R$301,$B$2)</f>
        <v/>
      </c>
    </row>
    <row r="6">
      <c r="A6" s="11" t="inlineStr">
        <is>
          <t>Compensi lordi (compenso + spese) €</t>
        </is>
      </c>
      <c r="B6" s="10">
        <f>SUMIFS(Ricevute!$I$2:$I$301,Ricevute!$R$2:$R$301,$B$2)</f>
        <v/>
      </c>
    </row>
    <row r="7">
      <c r="A7" s="11" t="inlineStr">
        <is>
          <t>Soglia Gestione separata INPS €</t>
        </is>
      </c>
      <c r="B7" s="10">
        <f>Parametri!$B$5</f>
        <v/>
      </c>
    </row>
    <row r="8">
      <c r="A8" s="11" t="inlineStr">
        <is>
          <t>Margine prima della soglia €</t>
        </is>
      </c>
      <c r="B8" s="10">
        <f>MAX(0,B7-B6)</f>
        <v/>
      </c>
    </row>
    <row r="9">
      <c r="A9" s="11" t="inlineStr">
        <is>
          <t>Quota della soglia usata</t>
        </is>
      </c>
      <c r="B9" s="15">
        <f>IF(B7&gt;0,B6/B7,0)</f>
        <v/>
      </c>
    </row>
    <row r="10">
      <c r="A10" s="11" t="inlineStr">
        <is>
          <t>Stato</t>
        </is>
      </c>
      <c r="B10" s="16">
        <f>IF(B6&gt;B7,"SOGLIA SUPERATA: verifica iscrizione Gestione separata INPS",IF(B9&gt;=Parametri!$B$6,"Vicino alla soglia: pianifica i prossimi incarichi","Sotto la soglia"))</f>
        <v/>
      </c>
    </row>
    <row r="11">
      <c r="A11" s="11" t="inlineStr">
        <is>
          <t>Ritenute d'acconto subite € (da scomputare in dichiarazione)</t>
        </is>
      </c>
      <c r="B11" s="10">
        <f>SUMIFS(Ricevute!$J$2:$J$301,Ricevute!$R$2:$R$301,$B$2)</f>
        <v/>
      </c>
    </row>
    <row r="12">
      <c r="A12" s="11" t="inlineStr">
        <is>
          <t>Netto atteso €</t>
        </is>
      </c>
      <c r="B12" s="10">
        <f>SUMIFS(Ricevute!$L$2:$L$301,Ricevute!$R$2:$R$301,$B$2)</f>
        <v/>
      </c>
    </row>
    <row r="13">
      <c r="A13" s="11" t="inlineStr">
        <is>
          <t>Incassato €</t>
        </is>
      </c>
      <c r="B13" s="10">
        <f>SUMIFS(Ricevute!$N$2:$N$301,Ricevute!$R$2:$R$301,$B$2)</f>
        <v/>
      </c>
    </row>
    <row r="14">
      <c r="A14" s="11" t="inlineStr">
        <is>
          <t>Da incassare €</t>
        </is>
      </c>
      <c r="B14" s="10">
        <f>SUMIFS(Ricevute!$O$2:$O$301,Ricevute!$R$2:$R$301,$B$2)</f>
        <v/>
      </c>
    </row>
    <row r="15">
      <c r="A15" s="11" t="inlineStr">
        <is>
          <t>Ricevute con bollo 2 € dovuto</t>
        </is>
      </c>
      <c r="B15" s="14">
        <f>COUNTIFS(Ricevute!$R$2:$R$301,$B$2,Ricevute!$K$2:$K$301,"Si")</f>
        <v/>
      </c>
    </row>
    <row r="16">
      <c r="A16" s="11" t="inlineStr">
        <is>
          <t>Ricevute a sostituti d'imposta senza CU ricevuta</t>
        </is>
      </c>
      <c r="B16" s="14">
        <f>COUNTIFS(Ricevute!$R$2:$R$301,$B$2,Ricevute!$D$2:$D$301,"Sostituto d'imposta",Ricevute!$P$2:$P$301,"&lt;&gt;Si")</f>
        <v/>
      </c>
    </row>
    <row r="18">
      <c r="A18" s="17" t="inlineStr">
        <is>
          <t>Lordo e ritenute come calcolati dal registro: confrontali con le Certificazioni Uniche ricevute dai committenti, che fanno fede.</t>
        </is>
      </c>
    </row>
    <row r="20">
      <c r="A20" s="6" t="inlineStr">
        <is>
          <t>Mese</t>
        </is>
      </c>
      <c r="B20" s="6" t="inlineStr">
        <is>
          <t>Lordo €</t>
        </is>
      </c>
      <c r="C20" s="6" t="inlineStr">
        <is>
          <t>Cumulato €</t>
        </is>
      </c>
    </row>
    <row r="21">
      <c r="A21" s="11" t="inlineStr">
        <is>
          <t>Gen</t>
        </is>
      </c>
      <c r="B21" s="10">
        <f>SUMIFS(Ricevute!$I$2:$I$301,Ricevute!$R$2:$R$301,$B$2,Ricevute!$S$2:$S$301,1)</f>
        <v/>
      </c>
      <c r="C21" s="10">
        <f>SUM($B$21:B21)</f>
        <v/>
      </c>
    </row>
    <row r="22">
      <c r="A22" s="11" t="inlineStr">
        <is>
          <t>Feb</t>
        </is>
      </c>
      <c r="B22" s="10">
        <f>SUMIFS(Ricevute!$I$2:$I$301,Ricevute!$R$2:$R$301,$B$2,Ricevute!$S$2:$S$301,2)</f>
        <v/>
      </c>
      <c r="C22" s="10">
        <f>SUM($B$21:B22)</f>
        <v/>
      </c>
    </row>
    <row r="23">
      <c r="A23" s="11" t="inlineStr">
        <is>
          <t>Mar</t>
        </is>
      </c>
      <c r="B23" s="10">
        <f>SUMIFS(Ricevute!$I$2:$I$301,Ricevute!$R$2:$R$301,$B$2,Ricevute!$S$2:$S$301,3)</f>
        <v/>
      </c>
      <c r="C23" s="10">
        <f>SUM($B$21:B23)</f>
        <v/>
      </c>
    </row>
    <row r="24">
      <c r="A24" s="11" t="inlineStr">
        <is>
          <t>Apr</t>
        </is>
      </c>
      <c r="B24" s="10">
        <f>SUMIFS(Ricevute!$I$2:$I$301,Ricevute!$R$2:$R$301,$B$2,Ricevute!$S$2:$S$301,4)</f>
        <v/>
      </c>
      <c r="C24" s="10">
        <f>SUM($B$21:B24)</f>
        <v/>
      </c>
    </row>
    <row r="25">
      <c r="A25" s="11" t="inlineStr">
        <is>
          <t>Mag</t>
        </is>
      </c>
      <c r="B25" s="10">
        <f>SUMIFS(Ricevute!$I$2:$I$301,Ricevute!$R$2:$R$301,$B$2,Ricevute!$S$2:$S$301,5)</f>
        <v/>
      </c>
      <c r="C25" s="10">
        <f>SUM($B$21:B25)</f>
        <v/>
      </c>
    </row>
    <row r="26">
      <c r="A26" s="11" t="inlineStr">
        <is>
          <t>Giu</t>
        </is>
      </c>
      <c r="B26" s="10">
        <f>SUMIFS(Ricevute!$I$2:$I$301,Ricevute!$R$2:$R$301,$B$2,Ricevute!$S$2:$S$301,6)</f>
        <v/>
      </c>
      <c r="C26" s="10">
        <f>SUM($B$21:B26)</f>
        <v/>
      </c>
    </row>
    <row r="27">
      <c r="A27" s="11" t="inlineStr">
        <is>
          <t>Lug</t>
        </is>
      </c>
      <c r="B27" s="10">
        <f>SUMIFS(Ricevute!$I$2:$I$301,Ricevute!$R$2:$R$301,$B$2,Ricevute!$S$2:$S$301,7)</f>
        <v/>
      </c>
      <c r="C27" s="10">
        <f>SUM($B$21:B27)</f>
        <v/>
      </c>
    </row>
    <row r="28">
      <c r="A28" s="11" t="inlineStr">
        <is>
          <t>Ago</t>
        </is>
      </c>
      <c r="B28" s="10">
        <f>SUMIFS(Ricevute!$I$2:$I$301,Ricevute!$R$2:$R$301,$B$2,Ricevute!$S$2:$S$301,8)</f>
        <v/>
      </c>
      <c r="C28" s="10">
        <f>SUM($B$21:B28)</f>
        <v/>
      </c>
    </row>
    <row r="29">
      <c r="A29" s="11" t="inlineStr">
        <is>
          <t>Set</t>
        </is>
      </c>
      <c r="B29" s="10">
        <f>SUMIFS(Ricevute!$I$2:$I$301,Ricevute!$R$2:$R$301,$B$2,Ricevute!$S$2:$S$301,9)</f>
        <v/>
      </c>
      <c r="C29" s="10">
        <f>SUM($B$21:B29)</f>
        <v/>
      </c>
    </row>
    <row r="30">
      <c r="A30" s="11" t="inlineStr">
        <is>
          <t>Ott</t>
        </is>
      </c>
      <c r="B30" s="10">
        <f>SUMIFS(Ricevute!$I$2:$I$301,Ricevute!$R$2:$R$301,$B$2,Ricevute!$S$2:$S$301,10)</f>
        <v/>
      </c>
      <c r="C30" s="10">
        <f>SUM($B$21:B30)</f>
        <v/>
      </c>
    </row>
    <row r="31">
      <c r="A31" s="11" t="inlineStr">
        <is>
          <t>Nov</t>
        </is>
      </c>
      <c r="B31" s="10">
        <f>SUMIFS(Ricevute!$I$2:$I$301,Ricevute!$R$2:$R$301,$B$2,Ricevute!$S$2:$S$301,11)</f>
        <v/>
      </c>
      <c r="C31" s="10">
        <f>SUM($B$21:B31)</f>
        <v/>
      </c>
    </row>
    <row r="32">
      <c r="A32" s="11" t="inlineStr">
        <is>
          <t>Dic</t>
        </is>
      </c>
      <c r="B32" s="10">
        <f>SUMIFS(Ricevute!$I$2:$I$301,Ricevute!$R$2:$R$301,$B$2,Ricevute!$S$2:$S$301,12)</f>
        <v/>
      </c>
      <c r="C32" s="10">
        <f>SUM($B$21:B32)</f>
        <v/>
      </c>
    </row>
    <row r="35">
      <c r="A35" s="6" t="inlineStr">
        <is>
          <t>Committente (scrivi il nome come nel foglio Ricevute)</t>
        </is>
      </c>
      <c r="B35" s="6" t="inlineStr">
        <is>
          <t>Lordo €</t>
        </is>
      </c>
      <c r="C35" s="6" t="inlineStr">
        <is>
          <t>Ritenute €</t>
        </is>
      </c>
      <c r="D35" s="6" t="inlineStr">
        <is>
          <t>Da incassare €</t>
        </is>
      </c>
    </row>
    <row r="36">
      <c r="A36" s="8" t="inlineStr">
        <is>
          <t>Esempio Srl</t>
        </is>
      </c>
      <c r="B36" s="10">
        <f>IF($A36="","",SUMIFS(Ricevute!$I$2:$I$301,Ricevute!$R$2:$R$301,$B$2,Ricevute!$C$2:$C$301,$A36))</f>
        <v/>
      </c>
      <c r="C36" s="10">
        <f>IF($A36="","",SUMIFS(Ricevute!$J$2:$J$301,Ricevute!$R$2:$R$301,$B$2,Ricevute!$C$2:$C$301,$A36))</f>
        <v/>
      </c>
      <c r="D36" s="10">
        <f>IF($A36="","",SUMIFS(Ricevute!$O$2:$O$301,Ricevute!$R$2:$R$301,$B$2,Ricevute!$C$2:$C$301,$A36))</f>
        <v/>
      </c>
    </row>
    <row r="37">
      <c r="A37" s="8" t="inlineStr">
        <is>
          <t>Mario Esempio</t>
        </is>
      </c>
      <c r="B37" s="10">
        <f>IF($A37="","",SUMIFS(Ricevute!$I$2:$I$301,Ricevute!$R$2:$R$301,$B$2,Ricevute!$C$2:$C$301,$A37))</f>
        <v/>
      </c>
      <c r="C37" s="10">
        <f>IF($A37="","",SUMIFS(Ricevute!$J$2:$J$301,Ricevute!$R$2:$R$301,$B$2,Ricevute!$C$2:$C$301,$A37))</f>
        <v/>
      </c>
      <c r="D37" s="10">
        <f>IF($A37="","",SUMIFS(Ricevute!$O$2:$O$301,Ricevute!$R$2:$R$301,$B$2,Ricevute!$C$2:$C$301,$A37))</f>
        <v/>
      </c>
    </row>
    <row r="38">
      <c r="A38" s="8" t="n"/>
      <c r="B38" s="10">
        <f>IF($A38="","",SUMIFS(Ricevute!$I$2:$I$301,Ricevute!$R$2:$R$301,$B$2,Ricevute!$C$2:$C$301,$A38))</f>
        <v/>
      </c>
      <c r="C38" s="10">
        <f>IF($A38="","",SUMIFS(Ricevute!$J$2:$J$301,Ricevute!$R$2:$R$301,$B$2,Ricevute!$C$2:$C$301,$A38))</f>
        <v/>
      </c>
      <c r="D38" s="10">
        <f>IF($A38="","",SUMIFS(Ricevute!$O$2:$O$301,Ricevute!$R$2:$R$301,$B$2,Ricevute!$C$2:$C$301,$A38))</f>
        <v/>
      </c>
    </row>
    <row r="39">
      <c r="A39" s="8" t="n"/>
      <c r="B39" s="10">
        <f>IF($A39="","",SUMIFS(Ricevute!$I$2:$I$301,Ricevute!$R$2:$R$301,$B$2,Ricevute!$C$2:$C$301,$A39))</f>
        <v/>
      </c>
      <c r="C39" s="10">
        <f>IF($A39="","",SUMIFS(Ricevute!$J$2:$J$301,Ricevute!$R$2:$R$301,$B$2,Ricevute!$C$2:$C$301,$A39))</f>
        <v/>
      </c>
      <c r="D39" s="10">
        <f>IF($A39="","",SUMIFS(Ricevute!$O$2:$O$301,Ricevute!$R$2:$R$301,$B$2,Ricevute!$C$2:$C$301,$A39))</f>
        <v/>
      </c>
    </row>
    <row r="40">
      <c r="A40" s="8" t="n"/>
      <c r="B40" s="10">
        <f>IF($A40="","",SUMIFS(Ricevute!$I$2:$I$301,Ricevute!$R$2:$R$301,$B$2,Ricevute!$C$2:$C$301,$A40))</f>
        <v/>
      </c>
      <c r="C40" s="10">
        <f>IF($A40="","",SUMIFS(Ricevute!$J$2:$J$301,Ricevute!$R$2:$R$301,$B$2,Ricevute!$C$2:$C$301,$A40))</f>
        <v/>
      </c>
      <c r="D40" s="10">
        <f>IF($A40="","",SUMIFS(Ricevute!$O$2:$O$301,Ricevute!$R$2:$R$301,$B$2,Ricevute!$C$2:$C$301,$A40))</f>
        <v/>
      </c>
    </row>
    <row r="41">
      <c r="A41" s="8" t="n"/>
      <c r="B41" s="10">
        <f>IF($A41="","",SUMIFS(Ricevute!$I$2:$I$301,Ricevute!$R$2:$R$301,$B$2,Ricevute!$C$2:$C$301,$A41))</f>
        <v/>
      </c>
      <c r="C41" s="10">
        <f>IF($A41="","",SUMIFS(Ricevute!$J$2:$J$301,Ricevute!$R$2:$R$301,$B$2,Ricevute!$C$2:$C$301,$A41))</f>
        <v/>
      </c>
      <c r="D41" s="10">
        <f>IF($A41="","",SUMIFS(Ricevute!$O$2:$O$301,Ricevute!$R$2:$R$301,$B$2,Ricevute!$C$2:$C$301,$A41))</f>
        <v/>
      </c>
    </row>
    <row r="42">
      <c r="A42" s="8" t="n"/>
      <c r="B42" s="10">
        <f>IF($A42="","",SUMIFS(Ricevute!$I$2:$I$301,Ricevute!$R$2:$R$301,$B$2,Ricevute!$C$2:$C$301,$A42))</f>
        <v/>
      </c>
      <c r="C42" s="10">
        <f>IF($A42="","",SUMIFS(Ricevute!$J$2:$J$301,Ricevute!$R$2:$R$301,$B$2,Ricevute!$C$2:$C$301,$A42))</f>
        <v/>
      </c>
      <c r="D42" s="10">
        <f>IF($A42="","",SUMIFS(Ricevute!$O$2:$O$301,Ricevute!$R$2:$R$301,$B$2,Ricevute!$C$2:$C$301,$A42))</f>
        <v/>
      </c>
    </row>
    <row r="43">
      <c r="A43" s="8" t="n"/>
      <c r="B43" s="10">
        <f>IF($A43="","",SUMIFS(Ricevute!$I$2:$I$301,Ricevute!$R$2:$R$301,$B$2,Ricevute!$C$2:$C$301,$A43))</f>
        <v/>
      </c>
      <c r="C43" s="10">
        <f>IF($A43="","",SUMIFS(Ricevute!$J$2:$J$301,Ricevute!$R$2:$R$301,$B$2,Ricevute!$C$2:$C$301,$A43))</f>
        <v/>
      </c>
      <c r="D43" s="10">
        <f>IF($A43="","",SUMIFS(Ricevute!$O$2:$O$301,Ricevute!$R$2:$R$301,$B$2,Ricevute!$C$2:$C$301,$A43))</f>
        <v/>
      </c>
    </row>
    <row r="44">
      <c r="A44" s="8" t="n"/>
      <c r="B44" s="10">
        <f>IF($A44="","",SUMIFS(Ricevute!$I$2:$I$301,Ricevute!$R$2:$R$301,$B$2,Ricevute!$C$2:$C$301,$A44))</f>
        <v/>
      </c>
      <c r="C44" s="10">
        <f>IF($A44="","",SUMIFS(Ricevute!$J$2:$J$301,Ricevute!$R$2:$R$301,$B$2,Ricevute!$C$2:$C$301,$A44))</f>
        <v/>
      </c>
      <c r="D44" s="10">
        <f>IF($A44="","",SUMIFS(Ricevute!$O$2:$O$301,Ricevute!$R$2:$R$301,$B$2,Ricevute!$C$2:$C$301,$A44))</f>
        <v/>
      </c>
    </row>
    <row r="45">
      <c r="A45" s="8" t="n"/>
      <c r="B45" s="10">
        <f>IF($A45="","",SUMIFS(Ricevute!$I$2:$I$301,Ricevute!$R$2:$R$301,$B$2,Ricevute!$C$2:$C$301,$A45))</f>
        <v/>
      </c>
      <c r="C45" s="10">
        <f>IF($A45="","",SUMIFS(Ricevute!$J$2:$J$301,Ricevute!$R$2:$R$301,$B$2,Ricevute!$C$2:$C$301,$A45))</f>
        <v/>
      </c>
      <c r="D45" s="10">
        <f>IF($A45="","",SUMIFS(Ricevute!$O$2:$O$301,Ricevute!$R$2:$R$301,$B$2,Ricevute!$C$2:$C$301,$A45))</f>
        <v/>
      </c>
    </row>
    <row r="46">
      <c r="A46" s="8" t="n"/>
      <c r="B46" s="10">
        <f>IF($A46="","",SUMIFS(Ricevute!$I$2:$I$301,Ricevute!$R$2:$R$301,$B$2,Ricevute!$C$2:$C$301,$A46))</f>
        <v/>
      </c>
      <c r="C46" s="10">
        <f>IF($A46="","",SUMIFS(Ricevute!$J$2:$J$301,Ricevute!$R$2:$R$301,$B$2,Ricevute!$C$2:$C$301,$A46))</f>
        <v/>
      </c>
      <c r="D46" s="10">
        <f>IF($A46="","",SUMIFS(Ricevute!$O$2:$O$301,Ricevute!$R$2:$R$301,$B$2,Ricevute!$C$2:$C$301,$A46))</f>
        <v/>
      </c>
    </row>
    <row r="47">
      <c r="A47" s="8" t="n"/>
      <c r="B47" s="10">
        <f>IF($A47="","",SUMIFS(Ricevute!$I$2:$I$301,Ricevute!$R$2:$R$301,$B$2,Ricevute!$C$2:$C$301,$A47))</f>
        <v/>
      </c>
      <c r="C47" s="10">
        <f>IF($A47="","",SUMIFS(Ricevute!$J$2:$J$301,Ricevute!$R$2:$R$301,$B$2,Ricevute!$C$2:$C$301,$A47))</f>
        <v/>
      </c>
      <c r="D47" s="10">
        <f>IF($A47="","",SUMIFS(Ricevute!$O$2:$O$301,Ricevute!$R$2:$R$301,$B$2,Ricevute!$C$2:$C$301,$A47))</f>
        <v/>
      </c>
    </row>
    <row r="48">
      <c r="A48" s="8" t="n"/>
      <c r="B48" s="10">
        <f>IF($A48="","",SUMIFS(Ricevute!$I$2:$I$301,Ricevute!$R$2:$R$301,$B$2,Ricevute!$C$2:$C$301,$A48))</f>
        <v/>
      </c>
      <c r="C48" s="10">
        <f>IF($A48="","",SUMIFS(Ricevute!$J$2:$J$301,Ricevute!$R$2:$R$301,$B$2,Ricevute!$C$2:$C$301,$A48))</f>
        <v/>
      </c>
      <c r="D48" s="10">
        <f>IF($A48="","",SUMIFS(Ricevute!$O$2:$O$301,Ricevute!$R$2:$R$301,$B$2,Ricevute!$C$2:$C$301,$A48))</f>
        <v/>
      </c>
    </row>
    <row r="49">
      <c r="A49" s="8" t="n"/>
      <c r="B49" s="10">
        <f>IF($A49="","",SUMIFS(Ricevute!$I$2:$I$301,Ricevute!$R$2:$R$301,$B$2,Ricevute!$C$2:$C$301,$A49))</f>
        <v/>
      </c>
      <c r="C49" s="10">
        <f>IF($A49="","",SUMIFS(Ricevute!$J$2:$J$301,Ricevute!$R$2:$R$301,$B$2,Ricevute!$C$2:$C$301,$A49))</f>
        <v/>
      </c>
      <c r="D49" s="10">
        <f>IF($A49="","",SUMIFS(Ricevute!$O$2:$O$301,Ricevute!$R$2:$R$301,$B$2,Ricevute!$C$2:$C$301,$A49))</f>
        <v/>
      </c>
    </row>
    <row r="50">
      <c r="A50" s="8" t="n"/>
      <c r="B50" s="10">
        <f>IF($A50="","",SUMIFS(Ricevute!$I$2:$I$301,Ricevute!$R$2:$R$301,$B$2,Ricevute!$C$2:$C$301,$A50))</f>
        <v/>
      </c>
      <c r="C50" s="10">
        <f>IF($A50="","",SUMIFS(Ricevute!$J$2:$J$301,Ricevute!$R$2:$R$301,$B$2,Ricevute!$C$2:$C$301,$A50))</f>
        <v/>
      </c>
      <c r="D50" s="10">
        <f>IF($A50="","",SUMIFS(Ricevute!$O$2:$O$301,Ricevute!$R$2:$R$301,$B$2,Ricevute!$C$2:$C$301,$A50))</f>
        <v/>
      </c>
    </row>
  </sheetData>
  <conditionalFormatting sqref="B10">
    <cfRule type="expression" priority="1" dxfId="0">
      <formula>$B$6&gt;$B$7</formula>
    </cfRule>
    <cfRule type="expression" priority="2" dxfId="2">
      <formula>AND($B$6&lt;=$B$7,$B$9&gt;=Parametri!$B$6)</formula>
    </cfRule>
    <cfRule type="expression" priority="3" dxfId="3">
      <formula>$B$9&lt;Parametri!$B$6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70" customWidth="1" min="3" max="3"/>
  </cols>
  <sheetData>
    <row r="1">
      <c r="A1" s="6" t="inlineStr">
        <is>
          <t>Parametro</t>
        </is>
      </c>
      <c r="B1" s="6" t="inlineStr">
        <is>
          <t>Valore</t>
        </is>
      </c>
      <c r="C1" s="6" t="inlineStr">
        <is>
          <t>Fonte</t>
        </is>
      </c>
    </row>
    <row r="2">
      <c r="A2" s="11" t="inlineStr">
        <is>
          <t>Aliquota ritenuta d'acconto</t>
        </is>
      </c>
      <c r="B2" s="18" t="n">
        <v>0.2</v>
      </c>
      <c r="C2" s="11" t="inlineStr">
        <is>
          <t>art. 25 DPR 600/1973; dal 1/1/2027 art. 38, c. 1, D.Lgs. 33/2025 (20%) — verificato 31/10/2026</t>
        </is>
      </c>
    </row>
    <row r="3">
      <c r="A3" s="11" t="inlineStr">
        <is>
          <t>Imposta di bollo €</t>
        </is>
      </c>
      <c r="B3" s="9" t="n">
        <v>2</v>
      </c>
      <c r="C3" s="11" t="inlineStr">
        <is>
          <t>DPR 642/1972, Tariffa all. A, parte I, art. 13 (riferimento dal 2027 da verificare)</t>
        </is>
      </c>
    </row>
    <row r="4">
      <c r="A4" s="11" t="inlineStr">
        <is>
          <t>Bollo dovuto se importo superiore a €</t>
        </is>
      </c>
      <c r="B4" s="9" t="n">
        <v>77.47</v>
      </c>
      <c r="C4" s="11" t="inlineStr">
        <is>
          <t>DPR 642/1972, Tariffa all. A, parte I, art. 13, nota 2</t>
        </is>
      </c>
    </row>
    <row r="5">
      <c r="A5" s="11" t="inlineStr">
        <is>
          <t>Soglia annua Gestione separata INPS €</t>
        </is>
      </c>
      <c r="B5" s="9" t="n">
        <v>5000</v>
      </c>
      <c r="C5" s="11" t="inlineStr">
        <is>
          <t>art. 44, comma 2, DL 269/2003</t>
        </is>
      </c>
    </row>
    <row r="6">
      <c r="A6" s="11" t="inlineStr">
        <is>
          <t>Avviso quando superi questa quota della soglia</t>
        </is>
      </c>
      <c r="B6" s="18" t="n">
        <v>0.8</v>
      </c>
      <c r="C6" s="11" t="inlineStr">
        <is>
          <t>scelta dell'utente (non normativa)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Lumen &amp; Ledger</dc:creator>
  <dc:title xmlns:dc="http://purl.org/dc/elements/1.1/">Registro annuale compensi da lavoro autonomo occasionale</dc:title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2026-10-31T13:22:18Z</dcterms:modified>
  <cp:lastModifiedBy>Lumen &amp; Ledger</cp:lastModifiedBy>
</cp:coreProperties>
</file>